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s Primas" sheetId="1" state="visible" r:id="rId3"/>
    <sheet name="Subcontratos" sheetId="2" state="visible" r:id="rId4"/>
    <sheet name="Costo Directo" sheetId="3" state="visible" r:id="rId5"/>
  </sheets>
  <definedNames>
    <definedName function="false" hidden="false" localSheetId="2" name="_xlnm.Print_Area" vbProcedure="false">'Costo Directo'!$A$1:$G$54</definedName>
    <definedName function="false" hidden="false" localSheetId="0" name="_xlnm.Print_Area" vbProcedure="false">'Materias Primas'!$A$2:$U$17</definedName>
  </definedNames>
  <calcPr iterateCount="1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Ruedas (4 un.) no incluidas: son componentes comprados y la plantilla no tiene fila para ellos. Agregar su costo aparte.</t>
        </r>
      </text>
    </comment>
    <comment ref="S3" authorId="0">
      <text>
        <r>
          <rPr>
            <sz val="10"/>
            <rFont val="Arial"/>
            <family val="2"/>
          </rPr>
          <t xml:space="preserve">Peso lineal calculado geométricamente: área de acero [mm²] x 0,00785 kg/m por mm² (acero 7,85 g/cm³). El plano no indica pesos.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Cordón estimado desde el plano (mm), perímetro de contacto por unión:
- 4 postes a base: 160 c/u
- 2 rieles superiores x 2 extremos: 160
- 4 uniones del marco de base: 160
- 4 diagonales 863 x 2 extremos: 160
- 4 diagonales 1023 x 2 extremos: 120
- Diagonal base 1578: 2 extremos x 160
- 2 diagonales base 766 x 2 extremos: 160
- 4 soportes ruedas 215: 160
- 4 soportes 50x50: 200
- 4 tapas pletina 50x5: 110
- 4 placas 80x45: 250
- 4 placas 300x100: 2 lados x 300 = 600
Soldadura $/mm (E9) de la plantilla.</t>
        </r>
      </text>
    </comment>
    <comment ref="D13" authorId="0">
      <text>
        <r>
          <rPr>
            <sz val="10"/>
            <rFont val="Arial"/>
            <family val="2"/>
          </rPr>
          <t xml:space="preserve">Mantenido de la plantilla del Rack (98 unidades por viaje x 2). Revisar capacidad de transporte del palet.</t>
        </r>
      </text>
    </comment>
  </commentList>
</comments>
</file>

<file path=xl/sharedStrings.xml><?xml version="1.0" encoding="utf-8"?>
<sst xmlns="http://schemas.openxmlformats.org/spreadsheetml/2006/main" count="155" uniqueCount="113">
  <si>
    <t xml:space="preserve">Despiece Palet Freestanding</t>
  </si>
  <si>
    <t xml:space="preserve">Ítem</t>
  </si>
  <si>
    <t xml:space="preserve">Elementos</t>
  </si>
  <si>
    <t xml:space="preserve">Fierro</t>
  </si>
  <si>
    <t xml:space="preserve">Medidas [mm]</t>
  </si>
  <si>
    <t xml:space="preserve">Largo [mm]</t>
  </si>
  <si>
    <t xml:space="preserve">Cantidad</t>
  </si>
  <si>
    <t xml:space="preserve">Rendimiento</t>
  </si>
  <si>
    <t xml:space="preserve">Sobrante</t>
  </si>
  <si>
    <t xml:space="preserve">Precio Neto</t>
  </si>
  <si>
    <t xml:space="preserve">Costo</t>
  </si>
  <si>
    <t xml:space="preserve">Peso [kg]</t>
  </si>
  <si>
    <t xml:space="preserve">Superficie</t>
  </si>
  <si>
    <t xml:space="preserve">OBS.</t>
  </si>
  <si>
    <t xml:space="preserve">A</t>
  </si>
  <si>
    <t xml:space="preserve">B</t>
  </si>
  <si>
    <t xml:space="preserve">C</t>
  </si>
  <si>
    <t xml:space="preserve">esp.</t>
  </si>
  <si>
    <t xml:space="preserve">Pieza</t>
  </si>
  <si>
    <t xml:space="preserve">Tira</t>
  </si>
  <si>
    <t xml:space="preserve">x Unid.</t>
  </si>
  <si>
    <t xml:space="preserve">Total</t>
  </si>
  <si>
    <t xml:space="preserve">x Tira</t>
  </si>
  <si>
    <t xml:space="preserve">de Tiras</t>
  </si>
  <si>
    <t xml:space="preserve">$/Tira</t>
  </si>
  <si>
    <t xml:space="preserve">x Unidad</t>
  </si>
  <si>
    <t xml:space="preserve">[kg/m]</t>
  </si>
  <si>
    <t xml:space="preserve">[kg]</t>
  </si>
  <si>
    <t xml:space="preserve">[mm²/pieza]</t>
  </si>
  <si>
    <t xml:space="preserve">Poste vertical</t>
  </si>
  <si>
    <t xml:space="preserve">Perfil 40x40x2,0 mm.</t>
  </si>
  <si>
    <t xml:space="preserve">Riel superior lateral</t>
  </si>
  <si>
    <t xml:space="preserve">Base frontal</t>
  </si>
  <si>
    <t xml:space="preserve">Base lateral</t>
  </si>
  <si>
    <t xml:space="preserve">Diagonal frontal (corto)</t>
  </si>
  <si>
    <t xml:space="preserve">Plano: detalle 40x40, elevación 40x20</t>
  </si>
  <si>
    <t xml:space="preserve">Diagonal lateral (largo)</t>
  </si>
  <si>
    <t xml:space="preserve">Perfil 40x20x2,0 mm.</t>
  </si>
  <si>
    <t xml:space="preserve">Plano: detalle 40x20, elevación 40x40</t>
  </si>
  <si>
    <t xml:space="preserve">Diagonal base larga</t>
  </si>
  <si>
    <t xml:space="preserve">Diagonal base corta</t>
  </si>
  <si>
    <t xml:space="preserve">Soporte ruedas</t>
  </si>
  <si>
    <t xml:space="preserve">Plano dice L=2015; se usó 215</t>
  </si>
  <si>
    <t xml:space="preserve">Soporte rueda</t>
  </si>
  <si>
    <t xml:space="preserve">Perfil 50x50x5,0 mm.</t>
  </si>
  <si>
    <t xml:space="preserve">Reemplaza perfil 60x60x5,0</t>
  </si>
  <si>
    <t xml:space="preserve">Tapa soporte rueda</t>
  </si>
  <si>
    <t xml:space="preserve">Pletina 50x5,0 mm.</t>
  </si>
  <si>
    <t xml:space="preserve">Tapa incluida con perfil 50x50</t>
  </si>
  <si>
    <t xml:space="preserve">Placa de poste 80x45x5</t>
  </si>
  <si>
    <t xml:space="preserve">Pletina 80x5,0 mm.</t>
  </si>
  <si>
    <t xml:space="preserve">Cortada de pletina</t>
  </si>
  <si>
    <t xml:space="preserve">Placa lateral 300x100x5</t>
  </si>
  <si>
    <t xml:space="preserve">Pletina 100x5,0 mm.</t>
  </si>
  <si>
    <t xml:space="preserve">TABLA DE PRECIOS MP</t>
  </si>
  <si>
    <t xml:space="preserve">Perfil cerrado</t>
  </si>
  <si>
    <t xml:space="preserve">$/kg</t>
  </si>
  <si>
    <t xml:space="preserve">Perfil cerrado e=1,5 mm. (perfil especial)</t>
  </si>
  <si>
    <t xml:space="preserve">Pletinas - Fe liso -  Perfil abierto</t>
  </si>
  <si>
    <t xml:space="preserve">Plancha  LISA SIN PROCESAR</t>
  </si>
  <si>
    <t xml:space="preserve">Plancha  Procesada</t>
  </si>
  <si>
    <t xml:space="preserve">TABLA DE PRECIOS RECUBRIMIENTO</t>
  </si>
  <si>
    <t xml:space="preserve">Galvanizado piezas pequeñas</t>
  </si>
  <si>
    <t xml:space="preserve">Galvanizado</t>
  </si>
  <si>
    <t xml:space="preserve">Galvanizado especial</t>
  </si>
  <si>
    <t xml:space="preserve">Zincado</t>
  </si>
  <si>
    <t xml:space="preserve">Pintura Electroestática</t>
  </si>
  <si>
    <t xml:space="preserve">$/m2</t>
  </si>
  <si>
    <t xml:space="preserve">Pintura Electroestática piezas grandes</t>
  </si>
  <si>
    <t xml:space="preserve">Pintura especial según esp. Técnicas</t>
  </si>
  <si>
    <t xml:space="preserve">Valor especial R&amp;R actualizado a 2022-03-13</t>
  </si>
  <si>
    <t xml:space="preserve">Elementos reemplazados </t>
  </si>
  <si>
    <t xml:space="preserve">Valores x confirmar</t>
  </si>
  <si>
    <t xml:space="preserve">Poner atención!!</t>
  </si>
  <si>
    <t xml:space="preserve">Subcontratos</t>
  </si>
  <si>
    <t xml:space="preserve">Subcontrato</t>
  </si>
  <si>
    <t xml:space="preserve">Unidad</t>
  </si>
  <si>
    <t xml:space="preserve">Consumo</t>
  </si>
  <si>
    <t xml:space="preserve">de medida</t>
  </si>
  <si>
    <t xml:space="preserve">x Lote</t>
  </si>
  <si>
    <t xml:space="preserve">$/unidad</t>
  </si>
  <si>
    <t xml:space="preserve">Palet Freestanding</t>
  </si>
  <si>
    <t xml:space="preserve">[m2]</t>
  </si>
  <si>
    <t xml:space="preserve">Soldadura</t>
  </si>
  <si>
    <t xml:space="preserve">[mm]</t>
  </si>
  <si>
    <t xml:space="preserve">--</t>
  </si>
  <si>
    <t xml:space="preserve">Maquila</t>
  </si>
  <si>
    <t xml:space="preserve">Transporte</t>
  </si>
  <si>
    <t xml:space="preserve">[unidad]</t>
  </si>
  <si>
    <t xml:space="preserve">Costo Directo de Fabricación Palet Freestanding</t>
  </si>
  <si>
    <t xml:space="preserve">Q=</t>
  </si>
  <si>
    <t xml:space="preserve">Racks</t>
  </si>
  <si>
    <t xml:space="preserve">Acero Negro</t>
  </si>
  <si>
    <t xml:space="preserve">Pintura</t>
  </si>
  <si>
    <t xml:space="preserve">($/Unidad)</t>
  </si>
  <si>
    <t xml:space="preserve">(%)</t>
  </si>
  <si>
    <t xml:space="preserve">Acero</t>
  </si>
  <si>
    <t xml:space="preserve">Pintura/Galvanizado</t>
  </si>
  <si>
    <t xml:space="preserve">Mano de Obra</t>
  </si>
  <si>
    <t xml:space="preserve">Insumos</t>
  </si>
  <si>
    <t xml:space="preserve">Total Costo</t>
  </si>
  <si>
    <t xml:space="preserve">Costo Directo</t>
  </si>
  <si>
    <t xml:space="preserve">Peso (Kg)</t>
  </si>
  <si>
    <t xml:space="preserve">$/Kg</t>
  </si>
  <si>
    <t xml:space="preserve">PRECIO VENTA</t>
  </si>
  <si>
    <t xml:space="preserve">   Acero negro</t>
  </si>
  <si>
    <t xml:space="preserve">        Pintura</t>
  </si>
  <si>
    <t xml:space="preserve">     Galvanizado</t>
  </si>
  <si>
    <t xml:space="preserve">MARGEN</t>
  </si>
  <si>
    <t xml:space="preserve">PRECIO LISTA</t>
  </si>
  <si>
    <t xml:space="preserve">MAXIMO DESCUENTO</t>
  </si>
  <si>
    <t xml:space="preserve">MARGEN ESPECIAL</t>
  </si>
  <si>
    <t xml:space="preserve">,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</si>
</sst>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\$* #,##0.00_);_(\$* \(#,##0.00\);_(\$* \-??_);_(@_)"/>
    <numFmt numFmtId="166" formatCode="0.0"/>
    <numFmt numFmtId="167" formatCode="#,##0"/>
    <numFmt numFmtId="168" formatCode="0%"/>
    <numFmt numFmtId="169" formatCode="#,##0.00"/>
    <numFmt numFmtId="170" formatCode="_([$$-2C0A]* #,##0_);_([$$-2C0A]* \(#,##0\);_([$$-2C0A]* \-_);_(@_)"/>
    <numFmt numFmtId="171" formatCode="0.000"/>
    <numFmt numFmtId="172" formatCode="_(* #,##0_);_(* \(#,##0\);_(* \-_);_(@_)"/>
    <numFmt numFmtId="173" formatCode="0.00"/>
    <numFmt numFmtId="174" formatCode="0.0000"/>
    <numFmt numFmtId="175" formatCode="_([$$-2C0A]* #,##0.000_);_([$$-2C0A]* \(#,##0.000\);_([$$-2C0A]* \-_);_(@_)"/>
    <numFmt numFmtId="176" formatCode="0"/>
    <numFmt numFmtId="177" formatCode="&quot;$ &quot;#,##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name val="Arial"/>
      <family val="2"/>
      <charset val="1"/>
    </font>
    <font>
      <b val="true"/>
      <u val="single"/>
      <sz val="10"/>
      <name val="Calibri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rgb="FF000000"/>
      <name val="Arial"/>
      <family val="2"/>
    </font>
    <font>
      <sz val="8"/>
      <color rgb="FF000000"/>
      <name val="Arial"/>
      <family val="2"/>
    </font>
    <font>
      <sz val="4.3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DCE6F2"/>
      </patternFill>
    </fill>
    <fill>
      <patternFill patternType="solid">
        <fgColor theme="0" tint="-0.05"/>
        <bgColor rgb="FFEBF1DE"/>
      </patternFill>
    </fill>
    <fill>
      <patternFill patternType="solid">
        <fgColor theme="6" tint="0.3999"/>
        <bgColor rgb="FFC0C0C0"/>
      </patternFill>
    </fill>
    <fill>
      <patternFill patternType="solid">
        <fgColor theme="6" tint="0.7999"/>
        <bgColor rgb="FFF2F2F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7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3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DCE6F2"/>
      <rgbColor rgb="FF600080"/>
      <rgbColor rgb="FFFF8080"/>
      <rgbColor rgb="FF0066CC"/>
      <rgbColor rgb="FFC3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A0E0E0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lang="es-CL" sz="1000" spc="-1" strike="noStrike">
                <a:solidFill>
                  <a:srgbClr val="000000"/>
                </a:solidFill>
                <a:latin typeface="Arial"/>
                <a:ea typeface="Arial"/>
              </a:rPr>
              <a:t>COSTO DIRECTO EST-125</a:t>
            </a:r>
          </a:p>
        </c:rich>
      </c:tx>
      <c:overlay val="0"/>
      <c:spPr>
        <a:noFill/>
        <a:ln w="2556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solidFill>
          <a:srgbClr val="c0c0c0"/>
        </a:solidFill>
        <a:ln w="3240">
          <a:solidFill>
            <a:srgbClr val="000000"/>
          </a:solidFill>
          <a:round/>
        </a:ln>
      </c:spPr>
    </c:floor>
    <c:sideWall>
      <c:spPr>
        <a:solidFill>
          <a:srgbClr val="c0c0c0"/>
        </a:solidFill>
        <a:ln w="12600">
          <a:solidFill>
            <a:srgbClr val="808080"/>
          </a:solidFill>
          <a:round/>
        </a:ln>
      </c:spPr>
    </c:sideWall>
    <c:backWall>
      <c:spPr>
        <a:solidFill>
          <a:srgbClr val="c0c0c0"/>
        </a:solidFill>
        <a:ln w="12600">
          <a:solidFill>
            <a:srgbClr val="808080"/>
          </a:solidFill>
          <a:round/>
        </a:ln>
      </c:spPr>
    </c:backWall>
    <c:plotArea>
      <c:bar3DChart>
        <c:barDir val="col"/>
        <c:grouping val="percentStacked"/>
        <c:varyColors val="0"/>
        <c:ser>
          <c:idx val="0"/>
          <c:order val="0"/>
          <c:spPr>
            <a:solidFill>
              <a:srgbClr val="808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80206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fffc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a0e0e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6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150"/>
        <c:shape val="box"/>
        <c:axId val="22250857"/>
        <c:axId val="27832433"/>
        <c:axId val="0"/>
      </c:bar3DChart>
      <c:catAx>
        <c:axId val="222508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7832433"/>
        <c:crosses val="autoZero"/>
        <c:auto val="1"/>
        <c:lblAlgn val="ctr"/>
        <c:lblOffset val="100"/>
        <c:noMultiLvlLbl val="0"/>
      </c:catAx>
      <c:valAx>
        <c:axId val="27832433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250857"/>
        <c:crosses val="autoZero"/>
        <c:crossBetween val="between"/>
      </c:valAx>
    </c:plotArea>
    <c:legend>
      <c:legendPos val="r"/>
      <c:overlay val="0"/>
      <c:spPr>
        <a:solidFill>
          <a:srgbClr val="ffffff"/>
        </a:solidFill>
        <a:ln w="3240">
          <a:solidFill>
            <a:srgbClr val="000000"/>
          </a:solidFill>
          <a:round/>
        </a:ln>
      </c:spPr>
      <c:txPr>
        <a:bodyPr/>
        <a:lstStyle/>
        <a:p>
          <a:pPr>
            <a:defRPr b="0" sz="435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graphicFrame>
      <xdr:nvGraphicFramePr>
        <xdr:cNvPr id="0" name="Chart 1"/>
        <xdr:cNvGraphicFramePr/>
      </xdr:nvGraphicFramePr>
      <xdr:xfrm>
        <a:off x="0" y="285768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9000</xdr:colOff>
      <xdr:row>29</xdr:row>
      <xdr:rowOff>86400</xdr:rowOff>
    </xdr:from>
    <xdr:to>
      <xdr:col>7</xdr:col>
      <xdr:colOff>46800</xdr:colOff>
      <xdr:row>55</xdr:row>
      <xdr:rowOff>14040</xdr:rowOff>
    </xdr:to>
    <xdr:pic>
      <xdr:nvPicPr>
        <xdr:cNvPr id="1" name="Imagen 1" descr="Recorte de pantalla"/>
        <xdr:cNvPicPr/>
      </xdr:nvPicPr>
      <xdr:blipFill>
        <a:blip r:embed="rId2"/>
        <a:srcRect l="994" t="0" r="0" b="0"/>
        <a:stretch/>
      </xdr:blipFill>
      <xdr:spPr>
        <a:xfrm>
          <a:off x="9000" y="5296680"/>
          <a:ext cx="6114600" cy="438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4.33"/>
    <col collapsed="false" customWidth="true" hidden="false" outlineLevel="0" max="3" min="2" style="1" width="35.33"/>
    <col collapsed="false" customWidth="true" hidden="false" outlineLevel="0" max="7" min="4" style="2" width="5.56"/>
    <col collapsed="false" customWidth="true" hidden="false" outlineLevel="0" max="8" min="8" style="2" width="7.11"/>
    <col collapsed="false" customWidth="true" hidden="false" outlineLevel="0" max="9" min="9" style="2" width="6"/>
    <col collapsed="false" customWidth="true" hidden="false" outlineLevel="0" max="10" min="10" style="1" width="7.11"/>
    <col collapsed="false" customWidth="true" hidden="false" outlineLevel="0" max="11" min="11" style="1" width="6.44"/>
    <col collapsed="false" customWidth="true" hidden="false" outlineLevel="0" max="13" min="12" style="1" width="5.66"/>
    <col collapsed="false" customWidth="true" hidden="false" outlineLevel="0" max="15" min="14" style="1" width="9"/>
    <col collapsed="false" customWidth="true" hidden="false" outlineLevel="0" max="16" min="16" style="1" width="14"/>
    <col collapsed="false" customWidth="true" hidden="false" outlineLevel="0" max="17" min="17" style="1" width="15"/>
    <col collapsed="false" customWidth="true" hidden="false" outlineLevel="0" max="18" min="18" style="1" width="2.88"/>
    <col collapsed="false" customWidth="true" hidden="false" outlineLevel="0" max="19" min="19" style="2" width="7.56"/>
    <col collapsed="false" customWidth="true" hidden="false" outlineLevel="0" max="21" min="20" style="2" width="11.89"/>
    <col collapsed="false" customWidth="true" hidden="false" outlineLevel="0" max="22" min="22" style="3" width="27"/>
    <col collapsed="false" customWidth="false" hidden="false" outlineLevel="0" max="16384" min="23" style="3" width="9.11"/>
  </cols>
  <sheetData>
    <row r="1" s="6" customFormat="true" ht="19.5" hidden="false" customHeight="true" outlineLevel="0" collapsed="false">
      <c r="A1" s="4" t="s">
        <v>0</v>
      </c>
      <c r="B1" s="4"/>
      <c r="C1" s="4"/>
      <c r="D1" s="5"/>
      <c r="E1" s="5"/>
      <c r="F1" s="5"/>
      <c r="G1" s="5"/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</row>
    <row r="2" customFormat="false" ht="13.5" hidden="false" customHeight="false" outlineLevel="0" collapsed="false">
      <c r="A2" s="7" t="s">
        <v>1</v>
      </c>
      <c r="B2" s="7" t="s">
        <v>2</v>
      </c>
      <c r="C2" s="7" t="s">
        <v>3</v>
      </c>
      <c r="D2" s="7" t="s">
        <v>4</v>
      </c>
      <c r="E2" s="7"/>
      <c r="F2" s="7"/>
      <c r="G2" s="7"/>
      <c r="H2" s="7" t="s">
        <v>5</v>
      </c>
      <c r="I2" s="7"/>
      <c r="J2" s="7" t="s">
        <v>6</v>
      </c>
      <c r="K2" s="7"/>
      <c r="L2" s="7" t="s">
        <v>7</v>
      </c>
      <c r="M2" s="7"/>
      <c r="N2" s="2" t="s">
        <v>8</v>
      </c>
      <c r="O2" s="2" t="s">
        <v>6</v>
      </c>
      <c r="P2" s="2" t="s">
        <v>9</v>
      </c>
      <c r="Q2" s="2" t="s">
        <v>10</v>
      </c>
      <c r="S2" s="7" t="s">
        <v>11</v>
      </c>
      <c r="T2" s="7"/>
      <c r="U2" s="2" t="s">
        <v>12</v>
      </c>
      <c r="V2" s="2" t="s">
        <v>13</v>
      </c>
    </row>
    <row r="3" customFormat="false" ht="13.5" hidden="false" customHeight="false" outlineLevel="0" collapsed="false">
      <c r="A3" s="7"/>
      <c r="B3" s="7"/>
      <c r="C3" s="7"/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7" t="s">
        <v>22</v>
      </c>
      <c r="M3" s="7"/>
      <c r="N3" s="2" t="s">
        <v>22</v>
      </c>
      <c r="O3" s="2" t="s">
        <v>23</v>
      </c>
      <c r="P3" s="2" t="s">
        <v>24</v>
      </c>
      <c r="Q3" s="2" t="s">
        <v>25</v>
      </c>
      <c r="S3" s="8" t="s">
        <v>26</v>
      </c>
      <c r="T3" s="8" t="s">
        <v>27</v>
      </c>
      <c r="U3" s="2" t="s">
        <v>28</v>
      </c>
      <c r="V3" s="2"/>
    </row>
    <row r="4" s="1" customFormat="true" ht="17.25" hidden="false" customHeight="true" outlineLevel="0" collapsed="false">
      <c r="A4" s="2" t="n">
        <v>1</v>
      </c>
      <c r="B4" s="1" t="s">
        <v>29</v>
      </c>
      <c r="C4" s="1" t="s">
        <v>30</v>
      </c>
      <c r="D4" s="2" t="n">
        <v>40</v>
      </c>
      <c r="E4" s="2" t="n">
        <v>40</v>
      </c>
      <c r="F4" s="9"/>
      <c r="G4" s="2" t="n">
        <v>2</v>
      </c>
      <c r="H4" s="10" t="n">
        <v>1020</v>
      </c>
      <c r="I4" s="11" t="n">
        <v>6000</v>
      </c>
      <c r="J4" s="2" t="n">
        <v>4</v>
      </c>
      <c r="K4" s="2" t="n">
        <f aca="false">J4*'Costo Directo'!$B$3</f>
        <v>120</v>
      </c>
      <c r="L4" s="11" t="n">
        <f aca="false">ROUNDDOWN(I4/H4,0)</f>
        <v>5</v>
      </c>
      <c r="M4" s="12" t="n">
        <f aca="false">ROUNDDOWN((I4-N4)/I4,2)</f>
        <v>0.85</v>
      </c>
      <c r="N4" s="13" t="n">
        <f aca="false">I4-L4*H4</f>
        <v>900</v>
      </c>
      <c r="O4" s="14" t="n">
        <f aca="false">ROUNDUP(K4/L4,0)</f>
        <v>24</v>
      </c>
      <c r="P4" s="15" t="n">
        <f aca="false">+$C$20*S4*I4/1000</f>
        <v>12906</v>
      </c>
      <c r="Q4" s="16" t="n">
        <f aca="false">+P4/L4*J4</f>
        <v>10324.8</v>
      </c>
      <c r="S4" s="14" t="n">
        <f aca="false">ROUND((2*(D4+E4)*G4-4*G4^2)*0.00785,2)</f>
        <v>2.39</v>
      </c>
      <c r="T4" s="17" t="n">
        <f aca="false">S4*H4/1000*J4</f>
        <v>9.7512</v>
      </c>
      <c r="U4" s="18" t="n">
        <f aca="false">(D4+E4+F4*2)*2*H4*J4</f>
        <v>652800</v>
      </c>
      <c r="V4" s="19"/>
    </row>
    <row r="5" s="1" customFormat="true" ht="17.25" hidden="false" customHeight="true" outlineLevel="0" collapsed="false">
      <c r="A5" s="2" t="n">
        <v>2</v>
      </c>
      <c r="B5" s="1" t="s">
        <v>31</v>
      </c>
      <c r="C5" s="1" t="s">
        <v>30</v>
      </c>
      <c r="D5" s="2" t="n">
        <v>40</v>
      </c>
      <c r="E5" s="2" t="n">
        <v>40</v>
      </c>
      <c r="F5" s="9"/>
      <c r="G5" s="2" t="n">
        <v>2</v>
      </c>
      <c r="H5" s="10" t="n">
        <v>1070</v>
      </c>
      <c r="I5" s="11" t="n">
        <v>6000</v>
      </c>
      <c r="J5" s="2" t="n">
        <v>2</v>
      </c>
      <c r="K5" s="2" t="n">
        <f aca="false">J5*'Costo Directo'!$B$3</f>
        <v>60</v>
      </c>
      <c r="L5" s="11" t="n">
        <f aca="false">ROUNDDOWN(I5/H5,0)</f>
        <v>5</v>
      </c>
      <c r="M5" s="12" t="n">
        <f aca="false">ROUNDDOWN((I5-N5)/I5,2)</f>
        <v>0.89</v>
      </c>
      <c r="N5" s="13" t="n">
        <f aca="false">I5-L5*H5</f>
        <v>650</v>
      </c>
      <c r="O5" s="14" t="n">
        <f aca="false">ROUNDUP(K5/L5,0)</f>
        <v>12</v>
      </c>
      <c r="P5" s="15" t="n">
        <f aca="false">+$C$20*S5*I5/1000</f>
        <v>12906</v>
      </c>
      <c r="Q5" s="16" t="n">
        <f aca="false">+P5/L5*J5</f>
        <v>5162.4</v>
      </c>
      <c r="S5" s="14" t="n">
        <f aca="false">ROUND((2*(D5+E5)*G5-4*G5^2)*0.00785,2)</f>
        <v>2.39</v>
      </c>
      <c r="T5" s="17" t="n">
        <f aca="false">S5*H5/1000*J5</f>
        <v>5.1146</v>
      </c>
      <c r="U5" s="18" t="n">
        <f aca="false">(D5+E5+F5*2)*2*H5*J5</f>
        <v>342400</v>
      </c>
      <c r="V5" s="19"/>
    </row>
    <row r="6" s="1" customFormat="true" ht="17.25" hidden="false" customHeight="true" outlineLevel="0" collapsed="false">
      <c r="A6" s="2" t="n">
        <v>3</v>
      </c>
      <c r="B6" s="1" t="s">
        <v>32</v>
      </c>
      <c r="C6" s="1" t="s">
        <v>30</v>
      </c>
      <c r="D6" s="2" t="n">
        <v>40</v>
      </c>
      <c r="E6" s="2" t="n">
        <v>40</v>
      </c>
      <c r="F6" s="9"/>
      <c r="G6" s="2" t="n">
        <v>2</v>
      </c>
      <c r="H6" s="10" t="n">
        <v>1340</v>
      </c>
      <c r="I6" s="11" t="n">
        <v>6000</v>
      </c>
      <c r="J6" s="2" t="n">
        <v>2</v>
      </c>
      <c r="K6" s="2" t="n">
        <f aca="false">J6*'Costo Directo'!$B$3</f>
        <v>60</v>
      </c>
      <c r="L6" s="11" t="n">
        <f aca="false">ROUNDDOWN(I6/H6,0)</f>
        <v>4</v>
      </c>
      <c r="M6" s="12" t="n">
        <f aca="false">ROUNDDOWN((I6-N6)/I6,2)</f>
        <v>0.89</v>
      </c>
      <c r="N6" s="13" t="n">
        <f aca="false">I6-L6*H6</f>
        <v>640</v>
      </c>
      <c r="O6" s="14" t="n">
        <f aca="false">ROUNDUP(K6/L6,0)</f>
        <v>15</v>
      </c>
      <c r="P6" s="15" t="n">
        <f aca="false">+$C$20*S6*I6/1000</f>
        <v>12906</v>
      </c>
      <c r="Q6" s="16" t="n">
        <f aca="false">+P6/L6*J6</f>
        <v>6453</v>
      </c>
      <c r="S6" s="14" t="n">
        <f aca="false">ROUND((2*(D6+E6)*G6-4*G6^2)*0.00785,2)</f>
        <v>2.39</v>
      </c>
      <c r="T6" s="17" t="n">
        <f aca="false">S6*H6/1000*J6</f>
        <v>6.4052</v>
      </c>
      <c r="U6" s="18" t="n">
        <f aca="false">(D6+E6+F6*2)*2*H6*J6</f>
        <v>428800</v>
      </c>
      <c r="V6" s="19"/>
    </row>
    <row r="7" s="1" customFormat="true" ht="17.25" hidden="false" customHeight="true" outlineLevel="0" collapsed="false">
      <c r="A7" s="2" t="n">
        <v>4</v>
      </c>
      <c r="B7" s="1" t="s">
        <v>33</v>
      </c>
      <c r="C7" s="1" t="s">
        <v>30</v>
      </c>
      <c r="D7" s="2" t="n">
        <v>40</v>
      </c>
      <c r="E7" s="2" t="n">
        <v>40</v>
      </c>
      <c r="F7" s="9"/>
      <c r="G7" s="2" t="n">
        <v>2</v>
      </c>
      <c r="H7" s="10" t="n">
        <v>1070</v>
      </c>
      <c r="I7" s="11" t="n">
        <v>6000</v>
      </c>
      <c r="J7" s="2" t="n">
        <v>2</v>
      </c>
      <c r="K7" s="2" t="n">
        <f aca="false">J7*'Costo Directo'!$B$3</f>
        <v>60</v>
      </c>
      <c r="L7" s="11" t="n">
        <f aca="false">ROUNDDOWN(I7/H7,0)</f>
        <v>5</v>
      </c>
      <c r="M7" s="12" t="n">
        <f aca="false">ROUNDDOWN((I7-N7)/I7,2)</f>
        <v>0.89</v>
      </c>
      <c r="N7" s="13" t="n">
        <f aca="false">I7-L7*H7</f>
        <v>650</v>
      </c>
      <c r="O7" s="14" t="n">
        <f aca="false">ROUNDUP(K7/L7,0)</f>
        <v>12</v>
      </c>
      <c r="P7" s="15" t="n">
        <f aca="false">+$C$20*S7*I7/1000</f>
        <v>12906</v>
      </c>
      <c r="Q7" s="16" t="n">
        <f aca="false">+P7/L7*J7</f>
        <v>5162.4</v>
      </c>
      <c r="S7" s="14" t="n">
        <f aca="false">ROUND((2*(D7+E7)*G7-4*G7^2)*0.00785,2)</f>
        <v>2.39</v>
      </c>
      <c r="T7" s="17" t="n">
        <f aca="false">S7*H7/1000*J7</f>
        <v>5.1146</v>
      </c>
      <c r="U7" s="18" t="n">
        <f aca="false">(D7+E7+F7*2)*2*H7*J7</f>
        <v>342400</v>
      </c>
      <c r="V7" s="19"/>
    </row>
    <row r="8" s="1" customFormat="true" ht="17.25" hidden="false" customHeight="true" outlineLevel="0" collapsed="false">
      <c r="A8" s="2" t="n">
        <v>5</v>
      </c>
      <c r="B8" s="20" t="s">
        <v>34</v>
      </c>
      <c r="C8" s="1" t="s">
        <v>30</v>
      </c>
      <c r="D8" s="2" t="n">
        <v>40</v>
      </c>
      <c r="E8" s="2" t="n">
        <v>40</v>
      </c>
      <c r="F8" s="9"/>
      <c r="G8" s="2" t="n">
        <v>2</v>
      </c>
      <c r="H8" s="10" t="n">
        <v>863</v>
      </c>
      <c r="I8" s="11" t="n">
        <v>6000</v>
      </c>
      <c r="J8" s="2" t="n">
        <v>4</v>
      </c>
      <c r="K8" s="2" t="n">
        <f aca="false">J8*'Costo Directo'!$B$3</f>
        <v>120</v>
      </c>
      <c r="L8" s="11" t="n">
        <f aca="false">ROUNDDOWN(I8/H8,0)</f>
        <v>6</v>
      </c>
      <c r="M8" s="12" t="n">
        <f aca="false">ROUNDDOWN((I8-N8)/I8,2)</f>
        <v>0.86</v>
      </c>
      <c r="N8" s="13" t="n">
        <f aca="false">I8-L8*H8</f>
        <v>822</v>
      </c>
      <c r="O8" s="14" t="n">
        <f aca="false">ROUNDUP(K8/L8,0)</f>
        <v>20</v>
      </c>
      <c r="P8" s="15" t="n">
        <f aca="false">+$C$20*S8*I8/1000</f>
        <v>12906</v>
      </c>
      <c r="Q8" s="16" t="n">
        <f aca="false">+P8/L8*J8</f>
        <v>8604</v>
      </c>
      <c r="S8" s="14" t="n">
        <f aca="false">ROUND((2*(D8+E8)*G8-4*G8^2)*0.00785,2)</f>
        <v>2.39</v>
      </c>
      <c r="T8" s="17" t="n">
        <f aca="false">S8*H8/1000*J8</f>
        <v>8.25028</v>
      </c>
      <c r="U8" s="18" t="n">
        <f aca="false">(D8+E8+F8*2)*2*H8*J8</f>
        <v>552320</v>
      </c>
      <c r="V8" s="19" t="s">
        <v>35</v>
      </c>
    </row>
    <row r="9" s="1" customFormat="true" ht="17.25" hidden="false" customHeight="true" outlineLevel="0" collapsed="false">
      <c r="A9" s="2" t="n">
        <v>6</v>
      </c>
      <c r="B9" s="20" t="s">
        <v>36</v>
      </c>
      <c r="C9" s="1" t="s">
        <v>37</v>
      </c>
      <c r="D9" s="2" t="n">
        <v>40</v>
      </c>
      <c r="E9" s="2" t="n">
        <v>20</v>
      </c>
      <c r="F9" s="9"/>
      <c r="G9" s="2" t="n">
        <v>2</v>
      </c>
      <c r="H9" s="10" t="n">
        <v>1023</v>
      </c>
      <c r="I9" s="11" t="n">
        <v>6000</v>
      </c>
      <c r="J9" s="2" t="n">
        <v>4</v>
      </c>
      <c r="K9" s="2" t="n">
        <f aca="false">J9*'Costo Directo'!$B$3</f>
        <v>120</v>
      </c>
      <c r="L9" s="11" t="n">
        <f aca="false">ROUNDDOWN(I9/H9,0)</f>
        <v>5</v>
      </c>
      <c r="M9" s="12" t="n">
        <f aca="false">ROUNDDOWN((I9-N9)/I9,2)</f>
        <v>0.85</v>
      </c>
      <c r="N9" s="13" t="n">
        <f aca="false">I9-L9*H9</f>
        <v>885</v>
      </c>
      <c r="O9" s="14" t="n">
        <f aca="false">ROUNDUP(K9/L9,0)</f>
        <v>24</v>
      </c>
      <c r="P9" s="15" t="n">
        <f aca="false">+$C$20*S9*I9/1000</f>
        <v>9504</v>
      </c>
      <c r="Q9" s="16" t="n">
        <f aca="false">+P9/L9*J9</f>
        <v>7603.2</v>
      </c>
      <c r="S9" s="14" t="n">
        <f aca="false">ROUND((2*(D9+E9)*G9-4*G9^2)*0.00785,2)</f>
        <v>1.76</v>
      </c>
      <c r="T9" s="17" t="n">
        <f aca="false">S9*H9/1000*J9</f>
        <v>7.20192</v>
      </c>
      <c r="U9" s="18" t="n">
        <f aca="false">(D9+E9+F9*2)*2*H9*J9</f>
        <v>491040</v>
      </c>
      <c r="V9" s="19" t="s">
        <v>38</v>
      </c>
    </row>
    <row r="10" s="1" customFormat="true" ht="17.25" hidden="false" customHeight="true" outlineLevel="0" collapsed="false">
      <c r="A10" s="2" t="n">
        <v>7</v>
      </c>
      <c r="B10" s="1" t="s">
        <v>39</v>
      </c>
      <c r="C10" s="1" t="s">
        <v>30</v>
      </c>
      <c r="D10" s="2" t="n">
        <v>40</v>
      </c>
      <c r="E10" s="2" t="n">
        <v>40</v>
      </c>
      <c r="F10" s="9"/>
      <c r="G10" s="2" t="n">
        <v>2</v>
      </c>
      <c r="H10" s="10" t="n">
        <v>1578</v>
      </c>
      <c r="I10" s="11" t="n">
        <v>6000</v>
      </c>
      <c r="J10" s="2" t="n">
        <v>1</v>
      </c>
      <c r="K10" s="2" t="n">
        <f aca="false">J10*'Costo Directo'!$B$3</f>
        <v>30</v>
      </c>
      <c r="L10" s="11" t="n">
        <f aca="false">ROUNDDOWN(I10/H10,0)</f>
        <v>3</v>
      </c>
      <c r="M10" s="12" t="n">
        <f aca="false">ROUNDDOWN((I10-N10)/I10,2)</f>
        <v>0.78</v>
      </c>
      <c r="N10" s="13" t="n">
        <f aca="false">I10-L10*H10</f>
        <v>1266</v>
      </c>
      <c r="O10" s="14" t="n">
        <f aca="false">ROUNDUP(K10/L10,0)</f>
        <v>10</v>
      </c>
      <c r="P10" s="15" t="n">
        <f aca="false">+$C$20*S10*I10/1000</f>
        <v>12906</v>
      </c>
      <c r="Q10" s="16" t="n">
        <f aca="false">+P10/L10*J10</f>
        <v>4302</v>
      </c>
      <c r="S10" s="14" t="n">
        <f aca="false">ROUND((2*(D10+E10)*G10-4*G10^2)*0.00785,2)</f>
        <v>2.39</v>
      </c>
      <c r="T10" s="17" t="n">
        <f aca="false">S10*H10/1000*J10</f>
        <v>3.77142</v>
      </c>
      <c r="U10" s="18" t="n">
        <f aca="false">(D10+E10+F10*2)*2*H10*J10</f>
        <v>252480</v>
      </c>
      <c r="V10" s="19"/>
    </row>
    <row r="11" s="1" customFormat="true" ht="17.25" hidden="false" customHeight="true" outlineLevel="0" collapsed="false">
      <c r="A11" s="2" t="n">
        <v>8</v>
      </c>
      <c r="B11" s="1" t="s">
        <v>40</v>
      </c>
      <c r="C11" s="1" t="s">
        <v>30</v>
      </c>
      <c r="D11" s="2" t="n">
        <v>40</v>
      </c>
      <c r="E11" s="2" t="n">
        <v>40</v>
      </c>
      <c r="F11" s="9"/>
      <c r="G11" s="2" t="n">
        <v>2</v>
      </c>
      <c r="H11" s="10" t="n">
        <v>766</v>
      </c>
      <c r="I11" s="11" t="n">
        <v>6000</v>
      </c>
      <c r="J11" s="2" t="n">
        <v>2</v>
      </c>
      <c r="K11" s="2" t="n">
        <f aca="false">J11*'Costo Directo'!$B$3</f>
        <v>60</v>
      </c>
      <c r="L11" s="11" t="n">
        <f aca="false">ROUNDDOWN(I11/H11,0)</f>
        <v>7</v>
      </c>
      <c r="M11" s="12" t="n">
        <f aca="false">ROUNDDOWN((I11-N11)/I11,2)</f>
        <v>0.89</v>
      </c>
      <c r="N11" s="13" t="n">
        <f aca="false">I11-L11*H11</f>
        <v>638</v>
      </c>
      <c r="O11" s="14" t="n">
        <f aca="false">ROUNDUP(K11/L11,0)</f>
        <v>9</v>
      </c>
      <c r="P11" s="15" t="n">
        <f aca="false">+$C$20*S11*I11/1000</f>
        <v>12906</v>
      </c>
      <c r="Q11" s="16" t="n">
        <f aca="false">+P11/L11*J11</f>
        <v>3687.42857142857</v>
      </c>
      <c r="S11" s="14" t="n">
        <f aca="false">ROUND((2*(D11+E11)*G11-4*G11^2)*0.00785,2)</f>
        <v>2.39</v>
      </c>
      <c r="T11" s="17" t="n">
        <f aca="false">S11*H11/1000*J11</f>
        <v>3.66148</v>
      </c>
      <c r="U11" s="18" t="n">
        <f aca="false">(D11+E11+F11*2)*2*H11*J11</f>
        <v>245120</v>
      </c>
      <c r="V11" s="19"/>
    </row>
    <row r="12" s="1" customFormat="true" ht="17.25" hidden="false" customHeight="true" outlineLevel="0" collapsed="false">
      <c r="A12" s="2" t="n">
        <v>9</v>
      </c>
      <c r="B12" s="20" t="s">
        <v>41</v>
      </c>
      <c r="C12" s="1" t="s">
        <v>30</v>
      </c>
      <c r="D12" s="2" t="n">
        <v>40</v>
      </c>
      <c r="E12" s="2" t="n">
        <v>40</v>
      </c>
      <c r="F12" s="9"/>
      <c r="G12" s="2" t="n">
        <v>2</v>
      </c>
      <c r="H12" s="10" t="n">
        <v>215</v>
      </c>
      <c r="I12" s="11" t="n">
        <v>6000</v>
      </c>
      <c r="J12" s="2" t="n">
        <v>4</v>
      </c>
      <c r="K12" s="2" t="n">
        <f aca="false">J12*'Costo Directo'!$B$3</f>
        <v>120</v>
      </c>
      <c r="L12" s="11" t="n">
        <f aca="false">ROUNDDOWN(I12/H12,0)</f>
        <v>27</v>
      </c>
      <c r="M12" s="12" t="n">
        <f aca="false">ROUNDDOWN((I12-N12)/I12,2)</f>
        <v>0.96</v>
      </c>
      <c r="N12" s="13" t="n">
        <f aca="false">I12-L12*H12</f>
        <v>195</v>
      </c>
      <c r="O12" s="14" t="n">
        <f aca="false">ROUNDUP(K12/L12,0)</f>
        <v>5</v>
      </c>
      <c r="P12" s="15" t="n">
        <f aca="false">+$C$20*S12*I12/1000</f>
        <v>12906</v>
      </c>
      <c r="Q12" s="16" t="n">
        <f aca="false">+P12/L12*J12</f>
        <v>1912</v>
      </c>
      <c r="S12" s="14" t="n">
        <f aca="false">ROUND((2*(D12+E12)*G12-4*G12^2)*0.00785,2)</f>
        <v>2.39</v>
      </c>
      <c r="T12" s="17" t="n">
        <f aca="false">S12*H12/1000*J12</f>
        <v>2.0554</v>
      </c>
      <c r="U12" s="18" t="n">
        <f aca="false">(D12+E12+F12*2)*2*H12*J12</f>
        <v>137600</v>
      </c>
      <c r="V12" s="19" t="s">
        <v>42</v>
      </c>
    </row>
    <row r="13" s="1" customFormat="true" ht="17.25" hidden="false" customHeight="true" outlineLevel="0" collapsed="false">
      <c r="A13" s="2" t="n">
        <v>10</v>
      </c>
      <c r="B13" s="21" t="s">
        <v>43</v>
      </c>
      <c r="C13" s="1" t="s">
        <v>44</v>
      </c>
      <c r="D13" s="2" t="n">
        <v>50</v>
      </c>
      <c r="E13" s="2" t="n">
        <v>50</v>
      </c>
      <c r="F13" s="9"/>
      <c r="G13" s="2" t="n">
        <v>5</v>
      </c>
      <c r="H13" s="10" t="n">
        <v>100</v>
      </c>
      <c r="I13" s="11" t="n">
        <v>6000</v>
      </c>
      <c r="J13" s="2" t="n">
        <v>4</v>
      </c>
      <c r="K13" s="2" t="n">
        <f aca="false">J13*'Costo Directo'!$B$3</f>
        <v>120</v>
      </c>
      <c r="L13" s="11" t="n">
        <f aca="false">ROUNDDOWN(I13/H13,0)</f>
        <v>60</v>
      </c>
      <c r="M13" s="12" t="n">
        <f aca="false">ROUNDDOWN((I13-N13)/I13,2)</f>
        <v>1</v>
      </c>
      <c r="N13" s="13" t="n">
        <f aca="false">I13-L13*H13</f>
        <v>0</v>
      </c>
      <c r="O13" s="14" t="n">
        <f aca="false">ROUNDUP(K13/L13,0)</f>
        <v>2</v>
      </c>
      <c r="P13" s="15" t="n">
        <f aca="false">+$C$20*S13*I13/1000</f>
        <v>38178</v>
      </c>
      <c r="Q13" s="16" t="n">
        <f aca="false">+P13/L13*J13</f>
        <v>2545.2</v>
      </c>
      <c r="S13" s="14" t="n">
        <f aca="false">ROUND((2*(D13+E13)*G13-4*G13^2)*0.00785,2)</f>
        <v>7.07</v>
      </c>
      <c r="T13" s="17" t="n">
        <f aca="false">S13*H13/1000*J13</f>
        <v>2.828</v>
      </c>
      <c r="U13" s="18" t="n">
        <f aca="false">(D13+E13+F13*2)*2*H13*J13</f>
        <v>80000</v>
      </c>
      <c r="V13" s="19" t="s">
        <v>45</v>
      </c>
    </row>
    <row r="14" s="1" customFormat="true" ht="17.25" hidden="false" customHeight="true" outlineLevel="0" collapsed="false">
      <c r="A14" s="2" t="n">
        <v>11</v>
      </c>
      <c r="B14" s="21" t="s">
        <v>46</v>
      </c>
      <c r="C14" s="1" t="s">
        <v>47</v>
      </c>
      <c r="D14" s="2" t="n">
        <v>50</v>
      </c>
      <c r="E14" s="2"/>
      <c r="F14" s="9"/>
      <c r="G14" s="2" t="n">
        <v>5</v>
      </c>
      <c r="H14" s="10" t="n">
        <v>50</v>
      </c>
      <c r="I14" s="11" t="n">
        <v>6000</v>
      </c>
      <c r="J14" s="2" t="n">
        <v>4</v>
      </c>
      <c r="K14" s="2" t="n">
        <f aca="false">J14*'Costo Directo'!$B$3</f>
        <v>120</v>
      </c>
      <c r="L14" s="11" t="n">
        <f aca="false">ROUNDDOWN(I14/H14,0)</f>
        <v>120</v>
      </c>
      <c r="M14" s="12" t="n">
        <f aca="false">ROUNDDOWN((I14-N14)/I14,2)</f>
        <v>1</v>
      </c>
      <c r="N14" s="13" t="n">
        <f aca="false">I14-L14*H14</f>
        <v>0</v>
      </c>
      <c r="O14" s="14" t="n">
        <f aca="false">ROUNDUP(K14/L14,0)</f>
        <v>1</v>
      </c>
      <c r="P14" s="15" t="n">
        <f aca="false">+$C$22*S14*I14/1000</f>
        <v>11760</v>
      </c>
      <c r="Q14" s="16" t="n">
        <f aca="false">+P14/L14*J14</f>
        <v>392</v>
      </c>
      <c r="S14" s="14" t="n">
        <f aca="false">ROUND(D14*G14*0.00785,2)</f>
        <v>1.96</v>
      </c>
      <c r="T14" s="17" t="n">
        <f aca="false">S14*H14/1000*J14</f>
        <v>0.392</v>
      </c>
      <c r="U14" s="18" t="n">
        <f aca="false">(D14+E14+F14*2)*2*H14*J14</f>
        <v>20000</v>
      </c>
      <c r="V14" s="19" t="s">
        <v>48</v>
      </c>
    </row>
    <row r="15" s="1" customFormat="true" ht="17.25" hidden="false" customHeight="true" outlineLevel="0" collapsed="false">
      <c r="A15" s="2" t="n">
        <v>12</v>
      </c>
      <c r="B15" s="1" t="s">
        <v>49</v>
      </c>
      <c r="C15" s="1" t="s">
        <v>50</v>
      </c>
      <c r="D15" s="2" t="n">
        <v>80</v>
      </c>
      <c r="E15" s="2"/>
      <c r="F15" s="9"/>
      <c r="G15" s="2" t="n">
        <v>5</v>
      </c>
      <c r="H15" s="10" t="n">
        <v>45</v>
      </c>
      <c r="I15" s="11" t="n">
        <v>6000</v>
      </c>
      <c r="J15" s="2" t="n">
        <v>4</v>
      </c>
      <c r="K15" s="2" t="n">
        <f aca="false">J15*'Costo Directo'!$B$3</f>
        <v>120</v>
      </c>
      <c r="L15" s="11" t="n">
        <f aca="false">ROUNDDOWN(I15/H15,0)</f>
        <v>133</v>
      </c>
      <c r="M15" s="12" t="n">
        <f aca="false">ROUNDDOWN((I15-N15)/I15,2)</f>
        <v>0.99</v>
      </c>
      <c r="N15" s="13" t="n">
        <f aca="false">I15-L15*H15</f>
        <v>15</v>
      </c>
      <c r="O15" s="14" t="n">
        <f aca="false">ROUNDUP(K15/L15,0)</f>
        <v>1</v>
      </c>
      <c r="P15" s="15" t="n">
        <f aca="false">+$C$22*S15*I15/1000</f>
        <v>18840</v>
      </c>
      <c r="Q15" s="16" t="n">
        <f aca="false">+P15/L15*J15</f>
        <v>566.616541353384</v>
      </c>
      <c r="S15" s="14" t="n">
        <f aca="false">ROUND(D15*G15*0.00785,2)</f>
        <v>3.14</v>
      </c>
      <c r="T15" s="17" t="n">
        <f aca="false">S15*H15/1000*J15</f>
        <v>0.5652</v>
      </c>
      <c r="U15" s="18" t="n">
        <f aca="false">(D15+E15+F15*2)*2*H15*J15</f>
        <v>28800</v>
      </c>
      <c r="V15" s="19" t="s">
        <v>51</v>
      </c>
    </row>
    <row r="16" s="1" customFormat="true" ht="17.25" hidden="false" customHeight="true" outlineLevel="0" collapsed="false">
      <c r="A16" s="2" t="n">
        <v>13</v>
      </c>
      <c r="B16" s="1" t="s">
        <v>52</v>
      </c>
      <c r="C16" s="1" t="s">
        <v>53</v>
      </c>
      <c r="D16" s="2" t="n">
        <v>100</v>
      </c>
      <c r="E16" s="2"/>
      <c r="F16" s="9"/>
      <c r="G16" s="2" t="n">
        <v>5</v>
      </c>
      <c r="H16" s="10" t="n">
        <v>300</v>
      </c>
      <c r="I16" s="11" t="n">
        <v>6000</v>
      </c>
      <c r="J16" s="2" t="n">
        <v>4</v>
      </c>
      <c r="K16" s="2" t="n">
        <f aca="false">J16*'Costo Directo'!$B$3</f>
        <v>120</v>
      </c>
      <c r="L16" s="11" t="n">
        <f aca="false">ROUNDDOWN(I16/H16,0)</f>
        <v>20</v>
      </c>
      <c r="M16" s="12" t="n">
        <f aca="false">ROUNDDOWN((I16-N16)/I16,2)</f>
        <v>1</v>
      </c>
      <c r="N16" s="13" t="n">
        <f aca="false">I16-L16*H16</f>
        <v>0</v>
      </c>
      <c r="O16" s="14" t="n">
        <f aca="false">ROUNDUP(K16/L16,0)</f>
        <v>6</v>
      </c>
      <c r="P16" s="15" t="n">
        <f aca="false">+$C$22*S16*I16/1000</f>
        <v>23580</v>
      </c>
      <c r="Q16" s="16" t="n">
        <f aca="false">+P16/L16*J16</f>
        <v>4716</v>
      </c>
      <c r="S16" s="14" t="n">
        <f aca="false">ROUND(D16*G16*0.00785,2)</f>
        <v>3.93</v>
      </c>
      <c r="T16" s="17" t="n">
        <f aca="false">S16*H16/1000*J16</f>
        <v>4.716</v>
      </c>
      <c r="U16" s="18" t="n">
        <f aca="false">(D16+E16+F16*2)*2*H16*J16</f>
        <v>240000</v>
      </c>
      <c r="V16" s="19" t="s">
        <v>51</v>
      </c>
    </row>
    <row r="17" s="1" customFormat="true" ht="19.5" hidden="false" customHeight="true" outlineLevel="0" collapsed="false">
      <c r="A17" s="22"/>
      <c r="B17" s="22"/>
      <c r="C17" s="23"/>
      <c r="D17" s="24"/>
      <c r="E17" s="24"/>
      <c r="F17" s="24"/>
      <c r="G17" s="24"/>
      <c r="H17" s="24"/>
      <c r="I17" s="24"/>
      <c r="J17" s="22"/>
      <c r="K17" s="22"/>
      <c r="L17" s="22"/>
      <c r="M17" s="22"/>
      <c r="N17" s="22"/>
      <c r="O17" s="22"/>
      <c r="P17" s="25"/>
      <c r="Q17" s="26" t="n">
        <f aca="false">SUM(Q4:Q16)</f>
        <v>61431.045112782</v>
      </c>
      <c r="R17" s="22"/>
      <c r="S17" s="27"/>
      <c r="T17" s="27" t="n">
        <f aca="false">SUM(T4:T16)</f>
        <v>59.8273</v>
      </c>
      <c r="U17" s="27" t="n">
        <f aca="false">SUM(U4:U16)/(1000*1000)</f>
        <v>3.81376</v>
      </c>
      <c r="V17" s="27"/>
    </row>
    <row r="18" s="1" customFormat="true" ht="19.5" hidden="false" customHeight="true" outlineLevel="0" collapsed="false">
      <c r="C18" s="13"/>
      <c r="D18" s="2"/>
      <c r="E18" s="2"/>
      <c r="F18" s="2"/>
      <c r="G18" s="2"/>
      <c r="H18" s="2"/>
      <c r="I18" s="2"/>
      <c r="P18" s="28"/>
      <c r="Q18" s="16"/>
      <c r="S18" s="29"/>
      <c r="T18" s="29"/>
      <c r="U18" s="30"/>
      <c r="V18" s="30"/>
    </row>
    <row r="19" s="1" customFormat="true" ht="13.5" hidden="false" customHeight="false" outlineLevel="0" collapsed="false">
      <c r="A19" s="31" t="s">
        <v>54</v>
      </c>
      <c r="B19" s="31"/>
      <c r="C19" s="32"/>
      <c r="D19" s="33"/>
    </row>
    <row r="20" s="1" customFormat="true" ht="13.5" hidden="false" customHeight="false" outlineLevel="0" collapsed="false">
      <c r="B20" s="1" t="s">
        <v>55</v>
      </c>
      <c r="C20" s="15" t="n">
        <v>900</v>
      </c>
      <c r="D20" s="1" t="s">
        <v>56</v>
      </c>
      <c r="E20" s="34"/>
      <c r="F20" s="34"/>
      <c r="G20" s="34"/>
      <c r="V20" s="2"/>
    </row>
    <row r="21" s="1" customFormat="true" ht="13.5" hidden="false" customHeight="false" outlineLevel="0" collapsed="false">
      <c r="B21" s="1" t="s">
        <v>57</v>
      </c>
      <c r="C21" s="15" t="n">
        <v>950</v>
      </c>
      <c r="D21" s="1" t="s">
        <v>56</v>
      </c>
      <c r="E21" s="34"/>
      <c r="F21" s="34"/>
      <c r="G21" s="34"/>
      <c r="V21" s="2"/>
    </row>
    <row r="22" s="1" customFormat="true" ht="13.5" hidden="false" customHeight="false" outlineLevel="0" collapsed="false">
      <c r="B22" s="1" t="s">
        <v>58</v>
      </c>
      <c r="C22" s="15" t="n">
        <v>1000</v>
      </c>
      <c r="D22" s="1" t="s">
        <v>56</v>
      </c>
      <c r="V22" s="2"/>
    </row>
    <row r="23" s="1" customFormat="true" ht="13.5" hidden="false" customHeight="false" outlineLevel="0" collapsed="false">
      <c r="B23" s="1" t="s">
        <v>59</v>
      </c>
      <c r="C23" s="15" t="n">
        <v>900</v>
      </c>
      <c r="D23" s="1" t="s">
        <v>56</v>
      </c>
      <c r="V23" s="2"/>
    </row>
    <row r="24" s="1" customFormat="true" ht="13.5" hidden="false" customHeight="false" outlineLevel="0" collapsed="false">
      <c r="B24" s="1" t="s">
        <v>60</v>
      </c>
      <c r="C24" s="15" t="n">
        <v>2000</v>
      </c>
      <c r="D24" s="1" t="s">
        <v>56</v>
      </c>
      <c r="V24" s="2"/>
    </row>
    <row r="25" s="1" customFormat="true" ht="13.5" hidden="false" customHeight="false" outlineLevel="0" collapsed="false">
      <c r="A25" s="31" t="s">
        <v>61</v>
      </c>
      <c r="B25" s="31"/>
      <c r="C25" s="32"/>
      <c r="D25" s="33"/>
    </row>
    <row r="26" s="1" customFormat="true" ht="13.5" hidden="false" customHeight="false" outlineLevel="0" collapsed="false">
      <c r="B26" s="1" t="s">
        <v>62</v>
      </c>
      <c r="C26" s="15" t="n">
        <v>460</v>
      </c>
      <c r="D26" s="1" t="s">
        <v>56</v>
      </c>
      <c r="S26" s="2"/>
    </row>
    <row r="27" s="1" customFormat="true" ht="13.5" hidden="false" customHeight="false" outlineLevel="0" collapsed="false">
      <c r="B27" s="1" t="s">
        <v>63</v>
      </c>
      <c r="C27" s="15" t="n">
        <v>460</v>
      </c>
      <c r="D27" s="1" t="s">
        <v>56</v>
      </c>
      <c r="S27" s="2"/>
    </row>
    <row r="28" customFormat="false" ht="13.5" hidden="false" customHeight="false" outlineLevel="0" collapsed="false">
      <c r="B28" s="1" t="s">
        <v>64</v>
      </c>
      <c r="C28" s="15" t="n">
        <v>620</v>
      </c>
      <c r="D28" s="1" t="s">
        <v>56</v>
      </c>
    </row>
    <row r="29" customFormat="false" ht="13.5" hidden="false" customHeight="false" outlineLevel="0" collapsed="false">
      <c r="B29" s="1" t="s">
        <v>65</v>
      </c>
      <c r="C29" s="15" t="n">
        <v>250</v>
      </c>
      <c r="D29" s="1" t="s">
        <v>56</v>
      </c>
    </row>
    <row r="30" customFormat="false" ht="13.5" hidden="false" customHeight="false" outlineLevel="0" collapsed="false">
      <c r="B30" s="1" t="s">
        <v>66</v>
      </c>
      <c r="C30" s="15" t="n">
        <f aca="false">2875/1.15*1.35</f>
        <v>3375</v>
      </c>
      <c r="D30" s="1" t="s">
        <v>67</v>
      </c>
    </row>
    <row r="31" customFormat="false" ht="13.5" hidden="false" customHeight="false" outlineLevel="0" collapsed="false">
      <c r="B31" s="1" t="s">
        <v>68</v>
      </c>
      <c r="C31" s="15" t="n">
        <f aca="false">4025/1.15*1.35</f>
        <v>4725</v>
      </c>
      <c r="D31" s="1" t="s">
        <v>67</v>
      </c>
    </row>
    <row r="32" customFormat="false" ht="13.5" hidden="false" customHeight="true" outlineLevel="0" collapsed="false">
      <c r="B32" s="1" t="s">
        <v>69</v>
      </c>
      <c r="C32" s="15" t="n">
        <v>7065</v>
      </c>
      <c r="D32" s="1" t="s">
        <v>67</v>
      </c>
      <c r="E32" s="35" t="s">
        <v>70</v>
      </c>
      <c r="F32" s="35"/>
      <c r="G32" s="35"/>
      <c r="H32" s="35"/>
      <c r="I32" s="35"/>
      <c r="J32" s="35"/>
      <c r="K32" s="35"/>
      <c r="L32" s="35"/>
    </row>
    <row r="33" customFormat="false" ht="13.5" hidden="false" customHeight="false" outlineLevel="0" collapsed="false">
      <c r="B33" s="36"/>
    </row>
    <row r="34" customFormat="false" ht="13.5" hidden="false" customHeight="false" outlineLevel="0" collapsed="false">
      <c r="B34" s="37" t="s">
        <v>71</v>
      </c>
    </row>
    <row r="35" customFormat="false" ht="13.5" hidden="false" customHeight="false" outlineLevel="0" collapsed="false">
      <c r="B35" s="38" t="s">
        <v>72</v>
      </c>
    </row>
    <row r="36" customFormat="false" ht="13.5" hidden="false" customHeight="false" outlineLevel="0" collapsed="false">
      <c r="B36" s="39" t="s">
        <v>73</v>
      </c>
    </row>
  </sheetData>
  <mergeCells count="10">
    <mergeCell ref="A2:A3"/>
    <mergeCell ref="B2:B3"/>
    <mergeCell ref="C2:C3"/>
    <mergeCell ref="D2:G2"/>
    <mergeCell ref="H2:I2"/>
    <mergeCell ref="J2:K2"/>
    <mergeCell ref="L2:M2"/>
    <mergeCell ref="S2:T2"/>
    <mergeCell ref="L3:M3"/>
    <mergeCell ref="E32:L32"/>
  </mergeCells>
  <printOptions headings="false" gridLines="false" gridLinesSet="true" horizontalCentered="false" verticalCentered="false"/>
  <pageMargins left="0.329861111111111" right="0.659722222222222" top="0.709722222222222" bottom="0.984027777777778" header="0.25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6" activeCellId="0" sqref="G16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46"/>
    <col collapsed="false" customWidth="true" hidden="false" outlineLevel="0" max="2" min="2" style="3" width="27.34"/>
    <col collapsed="false" customWidth="true" hidden="false" outlineLevel="0" max="3" min="3" style="3" width="11.56"/>
    <col collapsed="false" customWidth="true" hidden="false" outlineLevel="0" max="5" min="4" style="8" width="11.56"/>
    <col collapsed="false" customWidth="true" hidden="false" outlineLevel="0" max="6" min="6" style="8" width="15.33"/>
    <col collapsed="false" customWidth="true" hidden="false" outlineLevel="0" max="7" min="7" style="3" width="26.67"/>
    <col collapsed="false" customWidth="false" hidden="false" outlineLevel="0" max="16384" min="8" style="3" width="9.11"/>
  </cols>
  <sheetData>
    <row r="1" s="6" customFormat="true" ht="13.5" hidden="false" customHeight="false" outlineLevel="0" collapsed="false">
      <c r="A1" s="4" t="s">
        <v>74</v>
      </c>
      <c r="B1" s="4"/>
      <c r="C1" s="4"/>
      <c r="D1" s="4"/>
      <c r="E1" s="4"/>
      <c r="F1" s="4"/>
      <c r="G1" s="4"/>
    </row>
    <row r="2" customFormat="false" ht="13.5" hidden="false" customHeight="false" outlineLevel="0" collapsed="false">
      <c r="A2" s="40"/>
      <c r="B2" s="40"/>
      <c r="C2" s="40"/>
      <c r="D2" s="40"/>
      <c r="E2" s="40"/>
      <c r="F2" s="40"/>
      <c r="G2" s="40"/>
    </row>
    <row r="3" customFormat="false" ht="13.5" hidden="false" customHeight="true" outlineLevel="0" collapsed="false">
      <c r="A3" s="41" t="s">
        <v>2</v>
      </c>
      <c r="B3" s="41" t="s">
        <v>75</v>
      </c>
      <c r="C3" s="42" t="s">
        <v>76</v>
      </c>
      <c r="D3" s="42" t="s">
        <v>77</v>
      </c>
      <c r="E3" s="42" t="s">
        <v>9</v>
      </c>
      <c r="F3" s="42" t="s">
        <v>10</v>
      </c>
      <c r="G3" s="42" t="s">
        <v>13</v>
      </c>
    </row>
    <row r="4" customFormat="false" ht="13.5" hidden="false" customHeight="false" outlineLevel="0" collapsed="false">
      <c r="A4" s="41"/>
      <c r="B4" s="41"/>
      <c r="C4" s="43" t="s">
        <v>78</v>
      </c>
      <c r="D4" s="42" t="s">
        <v>79</v>
      </c>
      <c r="E4" s="42" t="s">
        <v>80</v>
      </c>
      <c r="F4" s="42" t="s">
        <v>25</v>
      </c>
      <c r="G4" s="42"/>
      <c r="I4" s="8"/>
      <c r="L4" s="1"/>
    </row>
    <row r="5" s="1" customFormat="true" ht="13.5" hidden="false" customHeight="false" outlineLevel="0" collapsed="false">
      <c r="A5" s="3" t="s">
        <v>81</v>
      </c>
      <c r="B5" s="1" t="s">
        <v>68</v>
      </c>
      <c r="C5" s="8" t="s">
        <v>82</v>
      </c>
      <c r="D5" s="44" t="n">
        <f aca="false">+'Materias Primas'!U17</f>
        <v>3.81376</v>
      </c>
      <c r="E5" s="45" t="n">
        <f aca="false">VLOOKUP(B5,'Materias Primas'!$B$20:$C$53,2,FALSE())</f>
        <v>4725</v>
      </c>
      <c r="F5" s="46" t="n">
        <f aca="false">E5*D5</f>
        <v>18020.016</v>
      </c>
    </row>
    <row r="6" s="1" customFormat="true" ht="13.5" hidden="false" customHeight="false" outlineLevel="0" collapsed="false">
      <c r="A6" s="3"/>
      <c r="B6" s="3"/>
      <c r="C6" s="8"/>
      <c r="D6" s="44"/>
      <c r="E6" s="45"/>
      <c r="F6" s="46"/>
    </row>
    <row r="7" s="1" customFormat="true" ht="13.5" hidden="false" customHeight="false" outlineLevel="0" collapsed="false">
      <c r="A7" s="3" t="s">
        <v>81</v>
      </c>
      <c r="B7" s="1" t="s">
        <v>63</v>
      </c>
      <c r="C7" s="8" t="s">
        <v>27</v>
      </c>
      <c r="D7" s="44" t="n">
        <f aca="false">+'Materias Primas'!T17</f>
        <v>59.8273</v>
      </c>
      <c r="E7" s="45" t="n">
        <f aca="false">VLOOKUP(B7,'Materias Primas'!$B$20:$C$53,2,FALSE())</f>
        <v>460</v>
      </c>
      <c r="F7" s="46" t="n">
        <f aca="false">E7*D7</f>
        <v>27520.558</v>
      </c>
    </row>
    <row r="8" s="1" customFormat="true" ht="13.5" hidden="false" customHeight="false" outlineLevel="0" collapsed="false">
      <c r="A8" s="3"/>
      <c r="B8" s="3"/>
      <c r="C8" s="8"/>
      <c r="D8" s="44"/>
      <c r="E8" s="45"/>
      <c r="F8" s="46"/>
    </row>
    <row r="9" s="1" customFormat="true" ht="13.5" hidden="false" customHeight="false" outlineLevel="0" collapsed="false">
      <c r="A9" s="3" t="s">
        <v>81</v>
      </c>
      <c r="B9" s="3" t="s">
        <v>83</v>
      </c>
      <c r="C9" s="8" t="s">
        <v>84</v>
      </c>
      <c r="D9" s="44" t="n">
        <f aca="false">4*160+2*2*160+4*160+4*2*160+4*2*120+2*160+2*2*160+4*160+4*200+4*110+4*250+4*600</f>
        <v>10400</v>
      </c>
      <c r="E9" s="47" t="n">
        <v>1.33928571428571</v>
      </c>
      <c r="F9" s="46" t="n">
        <f aca="false">+E9*D9</f>
        <v>13928.5714285714</v>
      </c>
    </row>
    <row r="10" s="1" customFormat="true" ht="13.5" hidden="false" customHeight="false" outlineLevel="0" collapsed="false">
      <c r="A10" s="3"/>
      <c r="B10" s="3"/>
      <c r="C10" s="8"/>
      <c r="D10" s="44"/>
      <c r="E10" s="47"/>
      <c r="F10" s="46"/>
    </row>
    <row r="11" s="1" customFormat="true" ht="13.5" hidden="false" customHeight="false" outlineLevel="0" collapsed="false">
      <c r="A11" s="3" t="s">
        <v>85</v>
      </c>
      <c r="B11" s="3" t="s">
        <v>86</v>
      </c>
      <c r="C11" s="8" t="s">
        <v>27</v>
      </c>
      <c r="D11" s="44"/>
      <c r="E11" s="45"/>
      <c r="F11" s="46" t="n">
        <f aca="false">+E11*D11</f>
        <v>0</v>
      </c>
    </row>
    <row r="12" s="1" customFormat="true" ht="13.5" hidden="false" customHeight="false" outlineLevel="0" collapsed="false">
      <c r="A12" s="3"/>
      <c r="B12" s="3"/>
      <c r="C12" s="8"/>
      <c r="D12" s="44"/>
      <c r="E12" s="45"/>
      <c r="F12" s="46"/>
    </row>
    <row r="13" s="1" customFormat="true" ht="13.5" hidden="false" customHeight="false" outlineLevel="0" collapsed="false">
      <c r="A13" s="3" t="s">
        <v>81</v>
      </c>
      <c r="B13" s="3" t="s">
        <v>87</v>
      </c>
      <c r="C13" s="8" t="s">
        <v>88</v>
      </c>
      <c r="D13" s="48" t="n">
        <f aca="false">98*2</f>
        <v>196</v>
      </c>
      <c r="E13" s="45" t="n">
        <v>95000</v>
      </c>
      <c r="F13" s="46" t="n">
        <f aca="false">+E13*2/D13</f>
        <v>969.387755102041</v>
      </c>
    </row>
  </sheetData>
  <mergeCells count="2">
    <mergeCell ref="A3:A4"/>
    <mergeCell ref="B3:B4"/>
  </mergeCells>
  <printOptions headings="false" gridLines="false" gridLinesSet="true" horizontalCentered="false" verticalCentered="false"/>
  <pageMargins left="0.329861111111111" right="0.659722222222222" top="0.8" bottom="0.984027777777778" header="0.25" footer="0.511805555555556"/>
  <pageSetup paperSize="1" scale="7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&amp;R&amp;9 Producción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22" activeCellId="0" sqref="K22"/>
    </sheetView>
  </sheetViews>
  <sheetFormatPr defaultColWidth="9.109375" defaultRowHeight="13.5" zeroHeight="false" outlineLevelRow="0" outlineLevelCol="0"/>
  <cols>
    <col collapsed="false" customWidth="true" hidden="false" outlineLevel="0" max="1" min="1" style="3" width="20.44"/>
    <col collapsed="false" customWidth="true" hidden="false" outlineLevel="0" max="2" min="2" style="3" width="14.44"/>
    <col collapsed="false" customWidth="true" hidden="false" outlineLevel="0" max="3" min="3" style="3" width="7.56"/>
    <col collapsed="false" customWidth="true" hidden="false" outlineLevel="0" max="4" min="4" style="3" width="14.44"/>
    <col collapsed="false" customWidth="true" hidden="false" outlineLevel="0" max="5" min="5" style="3" width="7.56"/>
    <col collapsed="false" customWidth="true" hidden="false" outlineLevel="0" max="6" min="6" style="3" width="14.44"/>
    <col collapsed="false" customWidth="true" hidden="false" outlineLevel="0" max="7" min="7" style="3" width="7.33"/>
    <col collapsed="false" customWidth="false" hidden="false" outlineLevel="0" max="16384" min="8" style="1" width="9.11"/>
  </cols>
  <sheetData>
    <row r="1" s="40" customFormat="true" ht="18.75" hidden="false" customHeight="true" outlineLevel="0" collapsed="false">
      <c r="A1" s="4" t="s">
        <v>89</v>
      </c>
      <c r="B1" s="4"/>
      <c r="C1" s="4"/>
      <c r="D1" s="4"/>
      <c r="E1" s="4"/>
      <c r="F1" s="4"/>
      <c r="G1" s="4"/>
    </row>
    <row r="2" customFormat="false" ht="6" hidden="false" customHeight="true" outlineLevel="0" collapsed="false">
      <c r="A2" s="40"/>
      <c r="B2" s="40"/>
      <c r="C2" s="40"/>
      <c r="D2" s="40"/>
      <c r="E2" s="40"/>
      <c r="F2" s="40"/>
      <c r="G2" s="40"/>
    </row>
    <row r="3" customFormat="false" ht="13.5" hidden="false" customHeight="false" outlineLevel="0" collapsed="false">
      <c r="A3" s="49" t="s">
        <v>90</v>
      </c>
      <c r="B3" s="50" t="n">
        <v>30</v>
      </c>
      <c r="C3" s="3" t="s">
        <v>91</v>
      </c>
    </row>
    <row r="4" customFormat="false" ht="8.25" hidden="false" customHeight="true" outlineLevel="0" collapsed="false"/>
    <row r="5" customFormat="false" ht="12.75" hidden="false" customHeight="true" outlineLevel="0" collapsed="false">
      <c r="B5" s="51" t="s">
        <v>92</v>
      </c>
      <c r="C5" s="51"/>
      <c r="D5" s="51" t="s">
        <v>93</v>
      </c>
      <c r="E5" s="51"/>
      <c r="F5" s="51" t="s">
        <v>63</v>
      </c>
      <c r="G5" s="51"/>
    </row>
    <row r="6" customFormat="false" ht="12.75" hidden="false" customHeight="true" outlineLevel="0" collapsed="false">
      <c r="B6" s="52" t="s">
        <v>94</v>
      </c>
      <c r="C6" s="53" t="s">
        <v>95</v>
      </c>
      <c r="D6" s="52" t="s">
        <v>94</v>
      </c>
      <c r="E6" s="53" t="s">
        <v>95</v>
      </c>
      <c r="F6" s="52" t="s">
        <v>94</v>
      </c>
      <c r="G6" s="53" t="s">
        <v>95</v>
      </c>
    </row>
    <row r="7" customFormat="false" ht="13.5" hidden="false" customHeight="false" outlineLevel="0" collapsed="false">
      <c r="A7" s="54" t="s">
        <v>96</v>
      </c>
      <c r="B7" s="55" t="n">
        <f aca="false">+'Materias Primas'!$Q$17</f>
        <v>61431.045112782</v>
      </c>
      <c r="C7" s="56" t="n">
        <f aca="false">B7/B$14</f>
        <v>0.652503226659138</v>
      </c>
      <c r="D7" s="55" t="n">
        <f aca="false">+'Materias Primas'!$Q$17</f>
        <v>61431.045112782</v>
      </c>
      <c r="E7" s="56" t="n">
        <f aca="false">D7/D$14</f>
        <v>0.521550176553413</v>
      </c>
      <c r="F7" s="55" t="n">
        <f aca="false">+'Materias Primas'!$Q$17</f>
        <v>61431.045112782</v>
      </c>
      <c r="G7" s="56" t="n">
        <f aca="false">F7/F$14</f>
        <v>0.473747314337799</v>
      </c>
    </row>
    <row r="8" customFormat="false" ht="13.5" hidden="false" customHeight="false" outlineLevel="0" collapsed="false">
      <c r="A8" s="57" t="s">
        <v>97</v>
      </c>
      <c r="B8" s="58" t="n">
        <v>0</v>
      </c>
      <c r="C8" s="59" t="n">
        <f aca="false">B8/B$14</f>
        <v>0</v>
      </c>
      <c r="D8" s="58" t="n">
        <f aca="false">+Subcontratos!F5</f>
        <v>18020.016</v>
      </c>
      <c r="E8" s="59" t="n">
        <f aca="false">D8/D$14</f>
        <v>0.152990112882514</v>
      </c>
      <c r="F8" s="58" t="n">
        <f aca="false">+Subcontratos!F7</f>
        <v>27520.558</v>
      </c>
      <c r="G8" s="59" t="n">
        <f aca="false">F8/F$14</f>
        <v>0.212234553679518</v>
      </c>
    </row>
    <row r="9" customFormat="false" ht="13.5" hidden="false" customHeight="false" outlineLevel="0" collapsed="false">
      <c r="A9" s="60" t="s">
        <v>83</v>
      </c>
      <c r="B9" s="58" t="n">
        <f aca="false">+Subcontratos!$F$9</f>
        <v>13928.5714285714</v>
      </c>
      <c r="C9" s="59" t="n">
        <f aca="false">B9/B$14</f>
        <v>0.147945355368927</v>
      </c>
      <c r="D9" s="58" t="n">
        <f aca="false">+Subcontratos!$F$9</f>
        <v>13928.5714285714</v>
      </c>
      <c r="E9" s="59" t="n">
        <f aca="false">D9/D$14</f>
        <v>0.118253708273583</v>
      </c>
      <c r="F9" s="58" t="n">
        <f aca="false">+Subcontratos!$F$9</f>
        <v>13928.5714285714</v>
      </c>
      <c r="G9" s="59" t="n">
        <f aca="false">F9/F$14</f>
        <v>0.107415123651786</v>
      </c>
    </row>
    <row r="10" customFormat="false" ht="13.5" hidden="false" customHeight="false" outlineLevel="0" collapsed="false">
      <c r="A10" s="60" t="s">
        <v>86</v>
      </c>
      <c r="B10" s="58"/>
      <c r="C10" s="59" t="n">
        <f aca="false">B10/B$14</f>
        <v>0</v>
      </c>
      <c r="D10" s="58"/>
      <c r="E10" s="59" t="n">
        <f aca="false">D10/D$14</f>
        <v>0</v>
      </c>
      <c r="F10" s="58"/>
      <c r="G10" s="59" t="n">
        <f aca="false">F10/F$14</f>
        <v>0</v>
      </c>
    </row>
    <row r="11" customFormat="false" ht="13.5" hidden="false" customHeight="false" outlineLevel="0" collapsed="false">
      <c r="A11" s="60" t="s">
        <v>98</v>
      </c>
      <c r="B11" s="61" t="n">
        <f aca="false">0.095*(B7+B10+B9+B8)*1.135/(1-0.3586)*1.12</f>
        <v>14188.8505332086</v>
      </c>
      <c r="C11" s="62" t="n">
        <f aca="false">B11/B$14</f>
        <v>0.150709966573179</v>
      </c>
      <c r="D11" s="61" t="n">
        <f aca="false">0.095*(D7+D10+D9+D8)*1.135/(1-0.3586)*1.13</f>
        <v>17738.672486766</v>
      </c>
      <c r="E11" s="62" t="n">
        <f aca="false">D11/D$14</f>
        <v>0.150601503691022</v>
      </c>
      <c r="F11" s="61" t="n">
        <f aca="false">0.095*(F7+F10+F9+F8)*1.135/(1-0.3586)*1.13</f>
        <v>19543.4236771301</v>
      </c>
      <c r="G11" s="62" t="n">
        <f aca="false">F11/F$14</f>
        <v>0.150716050215458</v>
      </c>
    </row>
    <row r="12" customFormat="false" ht="13.5" hidden="false" customHeight="false" outlineLevel="0" collapsed="false">
      <c r="A12" s="60" t="s">
        <v>99</v>
      </c>
      <c r="B12" s="61" t="n">
        <f aca="false">+(B7+B8+B9+B10)*1.135*0.042*1.28</f>
        <v>4598.26293827368</v>
      </c>
      <c r="C12" s="62" t="n">
        <f aca="false">B12/B$14</f>
        <v>0.0488414513987557</v>
      </c>
      <c r="D12" s="61" t="n">
        <f aca="false">+(D7+D8+D9+D10)*1.135*0.042*1.28</f>
        <v>5697.80106655529</v>
      </c>
      <c r="E12" s="62" t="n">
        <f aca="false">D12/D$14</f>
        <v>0.0483743870346398</v>
      </c>
      <c r="F12" s="61" t="n">
        <f aca="false">+(F7+F8+F9+F10)*1.135*0.042*1.28</f>
        <v>6277.50133809449</v>
      </c>
      <c r="G12" s="62" t="n">
        <f aca="false">F12/F$14</f>
        <v>0.0484111802788686</v>
      </c>
    </row>
    <row r="13" customFormat="false" ht="13.5" hidden="false" customHeight="false" outlineLevel="0" collapsed="false">
      <c r="A13" s="60" t="s">
        <v>87</v>
      </c>
      <c r="B13" s="61"/>
      <c r="C13" s="59" t="n">
        <f aca="false">B13/B$14</f>
        <v>0</v>
      </c>
      <c r="D13" s="61" t="n">
        <f aca="false">+Subcontratos!$F$13</f>
        <v>969.387755102041</v>
      </c>
      <c r="E13" s="59" t="n">
        <f aca="false">D13/D$14</f>
        <v>0.00823011156482814</v>
      </c>
      <c r="F13" s="61" t="n">
        <f aca="false">+Subcontratos!$F$13</f>
        <v>969.387755102041</v>
      </c>
      <c r="G13" s="59" t="n">
        <f aca="false">F13/F$14</f>
        <v>0.00747577783657118</v>
      </c>
    </row>
    <row r="14" s="22" customFormat="true" ht="13.5" hidden="false" customHeight="false" outlineLevel="0" collapsed="false">
      <c r="A14" s="63" t="s">
        <v>100</v>
      </c>
      <c r="B14" s="64" t="n">
        <f aca="false">SUM(B7:B13)</f>
        <v>94146.7300128357</v>
      </c>
      <c r="C14" s="65" t="n">
        <f aca="false">SUM(C7:C13)</f>
        <v>1</v>
      </c>
      <c r="D14" s="64" t="n">
        <f aca="false">SUM(D7:D13)</f>
        <v>117785.493849777</v>
      </c>
      <c r="E14" s="65" t="n">
        <f aca="false">SUM(E7:E13)</f>
        <v>1</v>
      </c>
      <c r="F14" s="64" t="n">
        <f aca="false">SUM(F7:F13)</f>
        <v>129670.48731168</v>
      </c>
      <c r="G14" s="65" t="n">
        <f aca="false">SUM(G7:G13)</f>
        <v>1</v>
      </c>
    </row>
    <row r="15" customFormat="false" ht="15" hidden="false" customHeight="true" outlineLevel="0" collapsed="false">
      <c r="A15" s="66" t="s">
        <v>101</v>
      </c>
      <c r="B15" s="67" t="n">
        <f aca="false">B14*1.01</f>
        <v>95088.197312964</v>
      </c>
      <c r="D15" s="67" t="n">
        <f aca="false">D14*1.01</f>
        <v>118963.348788274</v>
      </c>
      <c r="F15" s="67" t="n">
        <f aca="false">F14*1.01</f>
        <v>130967.192184797</v>
      </c>
      <c r="G15" s="68"/>
    </row>
    <row r="16" customFormat="false" ht="15" hidden="false" customHeight="true" outlineLevel="0" collapsed="false">
      <c r="A16" s="60" t="s">
        <v>102</v>
      </c>
      <c r="B16" s="69" t="n">
        <f aca="false">+'Materias Primas'!$T$17</f>
        <v>59.8273</v>
      </c>
      <c r="C16" s="69"/>
      <c r="D16" s="69" t="n">
        <f aca="false">+'Materias Primas'!$T$17</f>
        <v>59.8273</v>
      </c>
      <c r="E16" s="69"/>
      <c r="F16" s="69" t="n">
        <f aca="false">+'Materias Primas'!$T$17*1.05</f>
        <v>62.818665</v>
      </c>
      <c r="G16" s="68"/>
    </row>
    <row r="17" customFormat="false" ht="15" hidden="false" customHeight="true" outlineLevel="0" collapsed="false">
      <c r="A17" s="70" t="s">
        <v>103</v>
      </c>
      <c r="B17" s="71" t="n">
        <f aca="false">B15/B16</f>
        <v>1589.37804836528</v>
      </c>
      <c r="C17" s="71"/>
      <c r="D17" s="71" t="n">
        <f aca="false">D15/D16</f>
        <v>1988.44588989098</v>
      </c>
      <c r="E17" s="71"/>
      <c r="F17" s="71" t="n">
        <f aca="false">F15/F16</f>
        <v>2084.8451998271</v>
      </c>
      <c r="G17" s="72"/>
    </row>
    <row r="18" s="1" customFormat="true" ht="15" hidden="false" customHeight="true" outlineLevel="0" collapsed="false"/>
    <row r="19" customFormat="false" ht="15" hidden="false" customHeight="true" outlineLevel="0" collapsed="false">
      <c r="A19" s="4" t="s">
        <v>104</v>
      </c>
      <c r="B19" s="4"/>
      <c r="C19" s="4"/>
      <c r="D19" s="4"/>
      <c r="E19" s="4"/>
      <c r="F19" s="4"/>
      <c r="G19" s="4"/>
    </row>
    <row r="20" customFormat="false" ht="15" hidden="false" customHeight="true" outlineLevel="0" collapsed="false">
      <c r="A20" s="40"/>
      <c r="B20" s="40"/>
      <c r="C20" s="40"/>
      <c r="D20" s="40"/>
      <c r="E20" s="40"/>
      <c r="F20" s="40"/>
      <c r="G20" s="40"/>
    </row>
    <row r="21" s="1" customFormat="true" ht="15" hidden="false" customHeight="true" outlineLevel="0" collapsed="false">
      <c r="B21" s="73" t="s">
        <v>105</v>
      </c>
      <c r="C21" s="74"/>
      <c r="D21" s="75" t="s">
        <v>106</v>
      </c>
      <c r="E21" s="74"/>
      <c r="F21" s="75" t="s">
        <v>107</v>
      </c>
      <c r="G21" s="76"/>
    </row>
    <row r="22" customFormat="false" ht="15" hidden="false" customHeight="true" outlineLevel="0" collapsed="false">
      <c r="A22" s="77" t="s">
        <v>108</v>
      </c>
      <c r="B22" s="78" t="n">
        <v>0.4</v>
      </c>
      <c r="C22" s="79"/>
      <c r="D22" s="78" t="n">
        <v>0.4</v>
      </c>
      <c r="E22" s="79"/>
      <c r="F22" s="78" t="n">
        <v>0.4</v>
      </c>
      <c r="G22" s="80"/>
    </row>
    <row r="23" s="1" customFormat="true" ht="15" hidden="false" customHeight="true" outlineLevel="0" collapsed="false">
      <c r="A23" s="81" t="s">
        <v>109</v>
      </c>
      <c r="B23" s="82" t="n">
        <f aca="false">+B15/(1-B22)</f>
        <v>158480.32885494</v>
      </c>
      <c r="D23" s="82" t="n">
        <f aca="false">+D15/(1-D22)</f>
        <v>198272.247980457</v>
      </c>
      <c r="F23" s="82" t="n">
        <f aca="false">+F15/(1-F22)</f>
        <v>218278.653641328</v>
      </c>
      <c r="G23" s="83"/>
    </row>
    <row r="24" s="1" customFormat="true" ht="15" hidden="false" customHeight="true" outlineLevel="0" collapsed="false">
      <c r="A24" s="57" t="s">
        <v>110</v>
      </c>
      <c r="B24" s="84" t="n">
        <v>0.2</v>
      </c>
      <c r="D24" s="84" t="n">
        <v>0.2</v>
      </c>
      <c r="F24" s="84" t="n">
        <v>0.2</v>
      </c>
      <c r="G24" s="83"/>
    </row>
    <row r="25" s="1" customFormat="true" ht="15" hidden="false" customHeight="true" outlineLevel="0" collapsed="false">
      <c r="A25" s="81" t="s">
        <v>104</v>
      </c>
      <c r="B25" s="82" t="n">
        <f aca="false">+B23*(1-B24)</f>
        <v>126784.263083952</v>
      </c>
      <c r="D25" s="82" t="n">
        <f aca="false">+D23*(1-D24)</f>
        <v>158617.798384366</v>
      </c>
      <c r="F25" s="82" t="n">
        <f aca="false">+F23*(1-F24)</f>
        <v>174622.922913062</v>
      </c>
      <c r="G25" s="83"/>
    </row>
    <row r="26" s="1" customFormat="true" ht="15" hidden="false" customHeight="true" outlineLevel="0" collapsed="false">
      <c r="A26" s="57"/>
      <c r="G26" s="83"/>
    </row>
    <row r="27" customFormat="false" ht="13.5" hidden="false" customHeight="false" outlineLevel="0" collapsed="false">
      <c r="A27" s="57" t="s">
        <v>111</v>
      </c>
      <c r="B27" s="84" t="n">
        <f aca="false">+(B28-B15)/B28</f>
        <v>0.25</v>
      </c>
      <c r="C27" s="84"/>
      <c r="D27" s="84" t="n">
        <f aca="false">+(D28-D15)/D28</f>
        <v>0.25</v>
      </c>
      <c r="E27" s="84"/>
      <c r="F27" s="84" t="n">
        <f aca="false">+(F28-F15)/F28</f>
        <v>0.25</v>
      </c>
      <c r="G27" s="85"/>
    </row>
    <row r="28" customFormat="false" ht="18.75" hidden="false" customHeight="true" outlineLevel="0" collapsed="false">
      <c r="A28" s="86" t="s">
        <v>104</v>
      </c>
      <c r="B28" s="87" t="n">
        <f aca="false">+B25</f>
        <v>126784.263083952</v>
      </c>
      <c r="C28" s="87"/>
      <c r="D28" s="87" t="n">
        <f aca="false">+D25</f>
        <v>158617.798384366</v>
      </c>
      <c r="E28" s="87"/>
      <c r="F28" s="87" t="n">
        <f aca="false">+F25</f>
        <v>174622.922913062</v>
      </c>
      <c r="G28" s="88"/>
    </row>
    <row r="29" customFormat="false" ht="18" hidden="false" customHeight="true" outlineLevel="0" collapsed="false"/>
    <row r="30" customFormat="false" ht="13.5" hidden="false" customHeight="false" outlineLevel="0" collapsed="false">
      <c r="B30" s="89"/>
      <c r="C30" s="89"/>
      <c r="D30" s="89"/>
      <c r="E30" s="89"/>
      <c r="F30" s="89"/>
      <c r="G30" s="89"/>
    </row>
    <row r="38" customFormat="false" ht="13.5" hidden="false" customHeight="false" outlineLevel="0" collapsed="false">
      <c r="H38" s="1" t="s">
        <v>112</v>
      </c>
    </row>
  </sheetData>
  <mergeCells count="3">
    <mergeCell ref="B5:C5"/>
    <mergeCell ref="D5:E5"/>
    <mergeCell ref="F5:G5"/>
  </mergeCells>
  <printOptions headings="false" gridLines="false" gridLinesSet="true" horizontalCentered="false" verticalCentered="false"/>
  <pageMargins left="0.590277777777778" right="0.747916666666667" top="0.39375" bottom="0.984027777777778" header="0.236111111111111" footer="0.511805555555556"/>
  <pageSetup paperSize="1" scale="65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</oddHeader>
    <oddFooter>&amp;RProducción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1997-10-23T15:11:46Z</dcterms:created>
  <dc:creator>Antonio de Pinaga</dc:creator>
  <dc:description/>
  <dc:language>en-US</dc:language>
  <cp:lastModifiedBy/>
  <cp:lastPrinted>2015-11-16T15:02:19Z</cp:lastPrinted>
  <dcterms:modified xsi:type="dcterms:W3CDTF">2026-09-29T00:46:16Z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