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ePinagaadepinaga\Desktop\Curso ACHS IA 2026-08-24\"/>
    </mc:Choice>
  </mc:AlternateContent>
  <xr:revisionPtr revIDLastSave="0" documentId="13_ncr:1_{C6B28935-4F6F-4F4F-A11B-4A369FE43AA3}" xr6:coauthVersionLast="47" xr6:coauthVersionMax="47" xr10:uidLastSave="{00000000-0000-0000-0000-000000000000}"/>
  <bookViews>
    <workbookView xWindow="-108" yWindow="-108" windowWidth="23256" windowHeight="12456" tabRatio="859" activeTab="2" xr2:uid="{00000000-000D-0000-FFFF-FFFF00000000}"/>
  </bookViews>
  <sheets>
    <sheet name="Materias Primas" sheetId="1" r:id="rId1"/>
    <sheet name="Subcontratos" sheetId="4" r:id="rId2"/>
    <sheet name="Costo Directo" sheetId="5" r:id="rId3"/>
  </sheets>
  <definedNames>
    <definedName name="_xlnm.Print_Area" localSheetId="2">'Costo Directo'!$A$1:$G$54</definedName>
    <definedName name="_xlnm.Print_Area" localSheetId="0">'Materias Primas'!$A$2:$U$10</definedName>
    <definedName name="_xlnm.Print_Area" localSheetId="1">Subcontratos!#REF!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E7" i="4" l="1"/>
  <c r="D13" i="4"/>
  <c r="F13" i="4" s="1"/>
  <c r="K5" i="1"/>
  <c r="O5" i="1" s="1"/>
  <c r="K6" i="1"/>
  <c r="K7" i="1"/>
  <c r="K8" i="1"/>
  <c r="K9" i="1"/>
  <c r="P8" i="1"/>
  <c r="U7" i="1"/>
  <c r="T7" i="1"/>
  <c r="P7" i="1"/>
  <c r="L7" i="1"/>
  <c r="U9" i="1"/>
  <c r="U8" i="1"/>
  <c r="U6" i="1"/>
  <c r="U5" i="1"/>
  <c r="U4" i="1"/>
  <c r="E5" i="4"/>
  <c r="D9" i="4"/>
  <c r="F9" i="4" s="1"/>
  <c r="K4" i="1"/>
  <c r="P6" i="1"/>
  <c r="Q6" i="1" s="1"/>
  <c r="P5" i="1"/>
  <c r="Q5" i="1" s="1"/>
  <c r="P4" i="1"/>
  <c r="Q4" i="1" s="1"/>
  <c r="S9" i="1"/>
  <c r="T9" i="1" s="1"/>
  <c r="L9" i="1"/>
  <c r="O9" i="1" s="1"/>
  <c r="N9" i="1"/>
  <c r="M9" i="1" s="1"/>
  <c r="T8" i="1"/>
  <c r="L8" i="1"/>
  <c r="N8" i="1" s="1"/>
  <c r="M8" i="1" s="1"/>
  <c r="T6" i="1"/>
  <c r="T10" i="1" s="1"/>
  <c r="L6" i="1"/>
  <c r="T5" i="1"/>
  <c r="L5" i="1"/>
  <c r="T4" i="1"/>
  <c r="L4" i="1"/>
  <c r="N4" i="1" s="1"/>
  <c r="M4" i="1" s="1"/>
  <c r="F11" i="4"/>
  <c r="O7" i="1"/>
  <c r="N7" i="1"/>
  <c r="M7" i="1"/>
  <c r="N6" i="1"/>
  <c r="M6" i="1"/>
  <c r="U10" i="1"/>
  <c r="D5" i="4" s="1"/>
  <c r="N5" i="1"/>
  <c r="M5" i="1" s="1"/>
  <c r="B9" i="5" l="1"/>
  <c r="D9" i="5"/>
  <c r="F9" i="5"/>
  <c r="F13" i="5"/>
  <c r="D13" i="5"/>
  <c r="D16" i="5"/>
  <c r="F16" i="5"/>
  <c r="B16" i="5"/>
  <c r="D7" i="4"/>
  <c r="F7" i="4" s="1"/>
  <c r="F8" i="5" s="1"/>
  <c r="O8" i="1"/>
  <c r="O6" i="1"/>
  <c r="P9" i="1"/>
  <c r="Q9" i="1" s="1"/>
  <c r="Q7" i="1"/>
  <c r="Q10" i="1" s="1"/>
  <c r="O4" i="1"/>
  <c r="Q8" i="1"/>
  <c r="F5" i="4"/>
  <c r="D8" i="5" s="1"/>
  <c r="B7" i="5" l="1"/>
  <c r="D7" i="5"/>
  <c r="F7" i="5"/>
  <c r="D11" i="5" l="1"/>
  <c r="D12" i="5"/>
  <c r="B11" i="5"/>
  <c r="B12" i="5"/>
  <c r="F12" i="5"/>
  <c r="F11" i="5"/>
  <c r="F14" i="5" l="1"/>
  <c r="B14" i="5"/>
  <c r="D14" i="5"/>
  <c r="E12" i="5" l="1"/>
  <c r="E11" i="5"/>
  <c r="C8" i="5"/>
  <c r="C11" i="5"/>
  <c r="C12" i="5"/>
  <c r="G10" i="5"/>
  <c r="G12" i="5"/>
  <c r="G11" i="5"/>
  <c r="G13" i="5"/>
  <c r="F15" i="5"/>
  <c r="F23" i="5" s="1"/>
  <c r="F25" i="5" s="1"/>
  <c r="F28" i="5" s="1"/>
  <c r="F27" i="5" s="1"/>
  <c r="G7" i="5"/>
  <c r="C10" i="5"/>
  <c r="B15" i="5"/>
  <c r="B23" i="5" s="1"/>
  <c r="B25" i="5" s="1"/>
  <c r="B28" i="5" s="1"/>
  <c r="B27" i="5" s="1"/>
  <c r="G9" i="5"/>
  <c r="G8" i="5"/>
  <c r="C9" i="5"/>
  <c r="C7" i="5"/>
  <c r="C13" i="5"/>
  <c r="E13" i="5"/>
  <c r="E10" i="5"/>
  <c r="D15" i="5"/>
  <c r="E9" i="5"/>
  <c r="E8" i="5"/>
  <c r="E7" i="5"/>
  <c r="F17" i="5" l="1"/>
  <c r="G14" i="5"/>
  <c r="E14" i="5"/>
  <c r="C14" i="5"/>
  <c r="B17" i="5"/>
  <c r="D17" i="5"/>
  <c r="D23" i="5"/>
  <c r="D25" i="5" s="1"/>
  <c r="D28" i="5" s="1"/>
  <c r="D27" i="5" s="1"/>
</calcChain>
</file>

<file path=xl/sharedStrings.xml><?xml version="1.0" encoding="utf-8"?>
<sst xmlns="http://schemas.openxmlformats.org/spreadsheetml/2006/main" count="134" uniqueCount="96">
  <si>
    <t>(%)</t>
  </si>
  <si>
    <t>Fierro</t>
  </si>
  <si>
    <t>Subcontrato</t>
  </si>
  <si>
    <t>Consumo</t>
  </si>
  <si>
    <t>Unidad</t>
  </si>
  <si>
    <t>Insumos</t>
  </si>
  <si>
    <t>Elementos</t>
  </si>
  <si>
    <t>Rendimiento</t>
  </si>
  <si>
    <t>x Tira</t>
  </si>
  <si>
    <t>Cantidad</t>
  </si>
  <si>
    <t>Total</t>
  </si>
  <si>
    <t>Tira</t>
  </si>
  <si>
    <t>Precio Neto</t>
  </si>
  <si>
    <t>Largo [mm]</t>
  </si>
  <si>
    <t>$/Tira</t>
  </si>
  <si>
    <t>de Tiras</t>
  </si>
  <si>
    <t>Sobrante</t>
  </si>
  <si>
    <t>Pieza</t>
  </si>
  <si>
    <t>x Unid.</t>
  </si>
  <si>
    <t>Costo</t>
  </si>
  <si>
    <t>x Unidad</t>
  </si>
  <si>
    <t>Costo Directo</t>
  </si>
  <si>
    <t>de medida</t>
  </si>
  <si>
    <t>esp.</t>
  </si>
  <si>
    <t>Medidas [mm]</t>
  </si>
  <si>
    <t>Peso [kg]</t>
  </si>
  <si>
    <t>[mm²/pieza]</t>
  </si>
  <si>
    <t>Q=</t>
  </si>
  <si>
    <t>Acero</t>
  </si>
  <si>
    <t>Mano de Obra</t>
  </si>
  <si>
    <t>[kg]</t>
  </si>
  <si>
    <t>($/Unidad)</t>
  </si>
  <si>
    <t>Total Costo</t>
  </si>
  <si>
    <t>Galvanizado</t>
  </si>
  <si>
    <t>A</t>
  </si>
  <si>
    <t>B</t>
  </si>
  <si>
    <t>Soldadura</t>
  </si>
  <si>
    <t>Peso (Kg)</t>
  </si>
  <si>
    <t>Acero Negro</t>
  </si>
  <si>
    <t>$/Kg</t>
  </si>
  <si>
    <t xml:space="preserve">   Acero negro</t>
  </si>
  <si>
    <t xml:space="preserve">        Pintura</t>
  </si>
  <si>
    <t xml:space="preserve">     Galvanizado</t>
  </si>
  <si>
    <t>MARGEN</t>
  </si>
  <si>
    <t>PRECIO LISTA</t>
  </si>
  <si>
    <t>MAXIMO DESCUENTO</t>
  </si>
  <si>
    <t>PRECIO VENTA</t>
  </si>
  <si>
    <t>MARGEN ESPECIAL</t>
  </si>
  <si>
    <t>Pintura</t>
  </si>
  <si>
    <t>Pintura/Galvanizado</t>
  </si>
  <si>
    <t>x Lote</t>
  </si>
  <si>
    <t>[m2]</t>
  </si>
  <si>
    <t>[mm]</t>
  </si>
  <si>
    <t>Pletina 38x5,0 mm.</t>
  </si>
  <si>
    <t>Ítem</t>
  </si>
  <si>
    <t>$/m2</t>
  </si>
  <si>
    <t>$/kg</t>
  </si>
  <si>
    <t>Subcontratos</t>
  </si>
  <si>
    <t>Superficie</t>
  </si>
  <si>
    <t>[kg/m]</t>
  </si>
  <si>
    <t>Perfil cerrado</t>
  </si>
  <si>
    <t>TABLA DE PRECIOS MP</t>
  </si>
  <si>
    <t>C</t>
  </si>
  <si>
    <t xml:space="preserve">Elementos reemplazados </t>
  </si>
  <si>
    <t>,</t>
  </si>
  <si>
    <t>--</t>
  </si>
  <si>
    <t>Valores x confirmar</t>
  </si>
  <si>
    <t>Maquila</t>
  </si>
  <si>
    <t>[unidad]</t>
  </si>
  <si>
    <t>Transporte</t>
  </si>
  <si>
    <t>Zincado</t>
  </si>
  <si>
    <t>$/unidad</t>
  </si>
  <si>
    <t>Perfil 40x40x2,0 mm.</t>
  </si>
  <si>
    <t>Descanso Exterior</t>
  </si>
  <si>
    <t>Descanso Interior</t>
  </si>
  <si>
    <t>Despiece Rack estándar 225 lts.</t>
  </si>
  <si>
    <t>Rack estándar 225 lts.</t>
  </si>
  <si>
    <t>Costo Directo de Fabricación Rack estándar 225 lts.</t>
  </si>
  <si>
    <t>Racks</t>
  </si>
  <si>
    <t>TABLA DE PRECIOS RECUBRIMIENTO</t>
  </si>
  <si>
    <t>Pintura Electroestática</t>
  </si>
  <si>
    <t>Pintura Electroestática piezas grandes</t>
  </si>
  <si>
    <t>Larguero</t>
  </si>
  <si>
    <t>Travesaño</t>
  </si>
  <si>
    <t>Apoyo Exterior</t>
  </si>
  <si>
    <t>Apoyo Interior</t>
  </si>
  <si>
    <t>Poner atención!!</t>
  </si>
  <si>
    <t>OBS.</t>
  </si>
  <si>
    <t>Perfil cerrado e=1,5 mm. (perfil especial)</t>
  </si>
  <si>
    <t>Pletinas - Fe liso -  Perfil abierto</t>
  </si>
  <si>
    <t>Plancha  Procesada</t>
  </si>
  <si>
    <t>Galvanizado piezas pequeñas</t>
  </si>
  <si>
    <t>Galvanizado especial</t>
  </si>
  <si>
    <t>Pintura especial según esp. Técnicas</t>
  </si>
  <si>
    <t>Valor especial R&amp;R actualizado a 2022-03-13</t>
  </si>
  <si>
    <t>Plancha  LISA SIN PROCESAR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</si>
</sst>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(* #,##0_);_(* \(#,##0\);_(* &quot;-&quot;_);_(@_)"/>
    <numFmt numFmtId="165" formatCode="0.0"/>
    <numFmt numFmtId="166" formatCode="0.000"/>
    <numFmt numFmtId="167" formatCode="_([$$-2C0A]* #,##0_);_([$$-2C0A]* \(#,##0\);_([$$-2C0A]* &quot;-&quot;_);_(@_)"/>
    <numFmt numFmtId="168" formatCode="&quot;$&quot;\ #,##0"/>
    <numFmt numFmtId="169" formatCode="0.0000"/>
    <numFmt numFmtId="170" formatCode="_([$$-2C0A]* #,##0.000_);_([$$-2C0A]* \(#,##0.000\);_([$$-2C0A]* &quot;-&quot;_);_(@_)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9" fontId="4" fillId="0" borderId="0" xfId="3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/>
    </xf>
    <xf numFmtId="169" fontId="4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167" fontId="4" fillId="5" borderId="0" xfId="0" applyNumberFormat="1" applyFont="1" applyFill="1" applyAlignment="1">
      <alignment vertical="center"/>
    </xf>
    <xf numFmtId="2" fontId="4" fillId="5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7" fontId="5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0" fontId="4" fillId="0" borderId="0" xfId="0" quotePrefix="1" applyFont="1"/>
    <xf numFmtId="1" fontId="4" fillId="4" borderId="0" xfId="0" applyNumberFormat="1" applyFont="1" applyFill="1"/>
    <xf numFmtId="0" fontId="6" fillId="0" borderId="0" xfId="0" applyFont="1" applyAlignment="1">
      <alignment vertical="center"/>
    </xf>
    <xf numFmtId="0" fontId="4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3" fontId="4" fillId="0" borderId="2" xfId="0" applyNumberFormat="1" applyFont="1" applyBorder="1"/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/>
    <xf numFmtId="0" fontId="4" fillId="0" borderId="3" xfId="0" applyFont="1" applyBorder="1"/>
    <xf numFmtId="3" fontId="4" fillId="0" borderId="3" xfId="0" applyNumberFormat="1" applyFont="1" applyBorder="1" applyAlignment="1">
      <alignment vertical="center"/>
    </xf>
    <xf numFmtId="0" fontId="4" fillId="5" borderId="1" xfId="0" applyFont="1" applyFill="1" applyBorder="1"/>
    <xf numFmtId="3" fontId="4" fillId="5" borderId="1" xfId="0" applyNumberFormat="1" applyFont="1" applyFill="1" applyBorder="1"/>
    <xf numFmtId="0" fontId="6" fillId="0" borderId="3" xfId="0" applyFont="1" applyBorder="1"/>
    <xf numFmtId="3" fontId="6" fillId="0" borderId="0" xfId="0" applyNumberFormat="1" applyFont="1"/>
    <xf numFmtId="0" fontId="4" fillId="0" borderId="4" xfId="0" applyFont="1" applyBorder="1"/>
    <xf numFmtId="4" fontId="4" fillId="0" borderId="0" xfId="0" applyNumberFormat="1" applyFont="1"/>
    <xf numFmtId="0" fontId="4" fillId="0" borderId="1" xfId="0" applyFont="1" applyBorder="1"/>
    <xf numFmtId="4" fontId="4" fillId="0" borderId="5" xfId="0" applyNumberFormat="1" applyFont="1" applyBorder="1"/>
    <xf numFmtId="0" fontId="4" fillId="0" borderId="6" xfId="0" applyFont="1" applyBorder="1"/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9" fontId="4" fillId="0" borderId="0" xfId="0" applyNumberFormat="1" applyFont="1" applyAlignment="1">
      <alignment vertical="center"/>
    </xf>
    <xf numFmtId="9" fontId="4" fillId="0" borderId="4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8" fontId="6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9" fontId="4" fillId="0" borderId="11" xfId="3" applyFont="1" applyFill="1" applyBorder="1" applyAlignment="1">
      <alignment horizontal="center"/>
    </xf>
    <xf numFmtId="9" fontId="4" fillId="0" borderId="4" xfId="3" applyFont="1" applyFill="1" applyBorder="1" applyAlignment="1">
      <alignment horizontal="center"/>
    </xf>
    <xf numFmtId="9" fontId="4" fillId="5" borderId="6" xfId="3" applyFont="1" applyFill="1" applyBorder="1" applyAlignment="1">
      <alignment horizontal="center"/>
    </xf>
    <xf numFmtId="3" fontId="4" fillId="0" borderId="0" xfId="0" applyNumberFormat="1" applyFont="1"/>
    <xf numFmtId="2" fontId="4" fillId="0" borderId="0" xfId="0" applyNumberFormat="1" applyFont="1" applyAlignment="1">
      <alignment vertical="center"/>
    </xf>
    <xf numFmtId="0" fontId="4" fillId="6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 wrapText="1"/>
    </xf>
    <xf numFmtId="9" fontId="4" fillId="7" borderId="4" xfId="3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68" fontId="6" fillId="0" borderId="0" xfId="0" applyNumberFormat="1" applyFont="1" applyFill="1" applyAlignment="1">
      <alignment vertical="center"/>
    </xf>
  </cellXfs>
  <cellStyles count="4">
    <cellStyle name="Moneda 2" xfId="1" xr:uid="{00000000-0005-0000-0000-000000000000}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COSTO DIRECTO EST-125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5"/>
      <c:hPercent val="76"/>
      <c:rotY val="5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951-4764-9DFD-1AD86C0A18C0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951-4764-9DFD-1AD86C0A18C0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951-4764-9DFD-1AD86C0A18C0}"/>
            </c:ext>
          </c:extLst>
        </c:ser>
        <c:ser>
          <c:idx val="3"/>
          <c:order val="3"/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951-4764-9DFD-1AD86C0A18C0}"/>
            </c:ext>
          </c:extLst>
        </c:ser>
        <c:ser>
          <c:idx val="4"/>
          <c:order val="4"/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951-4764-9DFD-1AD86C0A18C0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5951-4764-9DFD-1AD86C0A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007801008"/>
        <c:axId val="1"/>
        <c:axId val="0"/>
      </c:bar3DChart>
      <c:catAx>
        <c:axId val="100780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0078010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  <c:printSettings>
    <c:headerFooter alignWithMargins="0">
      <c:oddHeader>&amp;A</c:oddHeader>
      <c:oddFooter>Página &amp;P</c:oddFooter>
    </c:headerFooter>
    <c:pageMargins b="1" l="0.75000000000000078" r="0.75000000000000078" t="1" header="0.511811024" footer="0.511811024"/>
    <c:pageSetup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11</xdr:row>
      <xdr:rowOff>0</xdr:rowOff>
    </xdr:from>
    <xdr:to>
      <xdr:col>2</xdr:col>
      <xdr:colOff>548640</xdr:colOff>
      <xdr:row>11</xdr:row>
      <xdr:rowOff>0</xdr:rowOff>
    </xdr:to>
    <xdr:sp macro="" textlink="">
      <xdr:nvSpPr>
        <xdr:cNvPr id="195347" name="Line 57">
          <a:extLst>
            <a:ext uri="{FF2B5EF4-FFF2-40B4-BE49-F238E27FC236}">
              <a16:creationId xmlns:a16="http://schemas.microsoft.com/office/drawing/2014/main" id="{5A7220A5-1773-8E7E-121F-8C684294853A}"/>
            </a:ext>
          </a:extLst>
        </xdr:cNvPr>
        <xdr:cNvSpPr>
          <a:spLocks noChangeShapeType="1"/>
        </xdr:cNvSpPr>
      </xdr:nvSpPr>
      <xdr:spPr bwMode="auto">
        <a:xfrm>
          <a:off x="32689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533400</xdr:colOff>
      <xdr:row>11</xdr:row>
      <xdr:rowOff>0</xdr:rowOff>
    </xdr:from>
    <xdr:to>
      <xdr:col>2</xdr:col>
      <xdr:colOff>533400</xdr:colOff>
      <xdr:row>11</xdr:row>
      <xdr:rowOff>0</xdr:rowOff>
    </xdr:to>
    <xdr:sp macro="" textlink="">
      <xdr:nvSpPr>
        <xdr:cNvPr id="195348" name="Line 63">
          <a:extLst>
            <a:ext uri="{FF2B5EF4-FFF2-40B4-BE49-F238E27FC236}">
              <a16:creationId xmlns:a16="http://schemas.microsoft.com/office/drawing/2014/main" id="{DB557736-6D1C-E19D-7F82-EA10AAD59855}"/>
            </a:ext>
          </a:extLst>
        </xdr:cNvPr>
        <xdr:cNvSpPr>
          <a:spLocks noChangeShapeType="1"/>
        </xdr:cNvSpPr>
      </xdr:nvSpPr>
      <xdr:spPr bwMode="auto">
        <a:xfrm>
          <a:off x="325374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259080</xdr:colOff>
      <xdr:row>11</xdr:row>
      <xdr:rowOff>0</xdr:rowOff>
    </xdr:from>
    <xdr:to>
      <xdr:col>2</xdr:col>
      <xdr:colOff>259080</xdr:colOff>
      <xdr:row>11</xdr:row>
      <xdr:rowOff>0</xdr:rowOff>
    </xdr:to>
    <xdr:sp macro="" textlink="">
      <xdr:nvSpPr>
        <xdr:cNvPr id="195349" name="Line 64">
          <a:extLst>
            <a:ext uri="{FF2B5EF4-FFF2-40B4-BE49-F238E27FC236}">
              <a16:creationId xmlns:a16="http://schemas.microsoft.com/office/drawing/2014/main" id="{DF447B23-D28C-2B85-0B3B-128DCD898852}"/>
            </a:ext>
          </a:extLst>
        </xdr:cNvPr>
        <xdr:cNvSpPr>
          <a:spLocks noChangeShapeType="1"/>
        </xdr:cNvSpPr>
      </xdr:nvSpPr>
      <xdr:spPr bwMode="auto">
        <a:xfrm>
          <a:off x="29794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601980</xdr:colOff>
      <xdr:row>11</xdr:row>
      <xdr:rowOff>0</xdr:rowOff>
    </xdr:from>
    <xdr:to>
      <xdr:col>2</xdr:col>
      <xdr:colOff>601980</xdr:colOff>
      <xdr:row>11</xdr:row>
      <xdr:rowOff>0</xdr:rowOff>
    </xdr:to>
    <xdr:sp macro="" textlink="">
      <xdr:nvSpPr>
        <xdr:cNvPr id="195350" name="Line 70">
          <a:extLst>
            <a:ext uri="{FF2B5EF4-FFF2-40B4-BE49-F238E27FC236}">
              <a16:creationId xmlns:a16="http://schemas.microsoft.com/office/drawing/2014/main" id="{9725B336-CAE2-A912-C238-271BCBE1F5A7}"/>
            </a:ext>
          </a:extLst>
        </xdr:cNvPr>
        <xdr:cNvSpPr>
          <a:spLocks noChangeShapeType="1"/>
        </xdr:cNvSpPr>
      </xdr:nvSpPr>
      <xdr:spPr bwMode="auto">
        <a:xfrm>
          <a:off x="33223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472440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195351" name="Line 71">
          <a:extLst>
            <a:ext uri="{FF2B5EF4-FFF2-40B4-BE49-F238E27FC236}">
              <a16:creationId xmlns:a16="http://schemas.microsoft.com/office/drawing/2014/main" id="{CE3E35B9-22DE-5745-4BCC-0BDB5EF813CD}"/>
            </a:ext>
          </a:extLst>
        </xdr:cNvPr>
        <xdr:cNvSpPr>
          <a:spLocks noChangeShapeType="1"/>
        </xdr:cNvSpPr>
      </xdr:nvSpPr>
      <xdr:spPr bwMode="auto">
        <a:xfrm>
          <a:off x="31927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259080</xdr:colOff>
      <xdr:row>11</xdr:row>
      <xdr:rowOff>0</xdr:rowOff>
    </xdr:from>
    <xdr:to>
      <xdr:col>2</xdr:col>
      <xdr:colOff>259080</xdr:colOff>
      <xdr:row>11</xdr:row>
      <xdr:rowOff>0</xdr:rowOff>
    </xdr:to>
    <xdr:sp macro="" textlink="">
      <xdr:nvSpPr>
        <xdr:cNvPr id="195352" name="Line 73">
          <a:extLst>
            <a:ext uri="{FF2B5EF4-FFF2-40B4-BE49-F238E27FC236}">
              <a16:creationId xmlns:a16="http://schemas.microsoft.com/office/drawing/2014/main" id="{5206DCA8-C192-A537-FB4F-67DBD41D3F07}"/>
            </a:ext>
          </a:extLst>
        </xdr:cNvPr>
        <xdr:cNvSpPr>
          <a:spLocks noChangeShapeType="1"/>
        </xdr:cNvSpPr>
      </xdr:nvSpPr>
      <xdr:spPr bwMode="auto">
        <a:xfrm>
          <a:off x="29794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129540</xdr:colOff>
      <xdr:row>11</xdr:row>
      <xdr:rowOff>0</xdr:rowOff>
    </xdr:from>
    <xdr:to>
      <xdr:col>2</xdr:col>
      <xdr:colOff>129540</xdr:colOff>
      <xdr:row>11</xdr:row>
      <xdr:rowOff>0</xdr:rowOff>
    </xdr:to>
    <xdr:sp macro="" textlink="">
      <xdr:nvSpPr>
        <xdr:cNvPr id="195353" name="Line 74">
          <a:extLst>
            <a:ext uri="{FF2B5EF4-FFF2-40B4-BE49-F238E27FC236}">
              <a16:creationId xmlns:a16="http://schemas.microsoft.com/office/drawing/2014/main" id="{11CB02FC-9464-90AA-CD51-29020138D90A}"/>
            </a:ext>
          </a:extLst>
        </xdr:cNvPr>
        <xdr:cNvSpPr>
          <a:spLocks noChangeShapeType="1"/>
        </xdr:cNvSpPr>
      </xdr:nvSpPr>
      <xdr:spPr bwMode="auto">
        <a:xfrm>
          <a:off x="28498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601980</xdr:colOff>
      <xdr:row>11</xdr:row>
      <xdr:rowOff>0</xdr:rowOff>
    </xdr:from>
    <xdr:to>
      <xdr:col>2</xdr:col>
      <xdr:colOff>601980</xdr:colOff>
      <xdr:row>11</xdr:row>
      <xdr:rowOff>0</xdr:rowOff>
    </xdr:to>
    <xdr:sp macro="" textlink="">
      <xdr:nvSpPr>
        <xdr:cNvPr id="195354" name="Line 76">
          <a:extLst>
            <a:ext uri="{FF2B5EF4-FFF2-40B4-BE49-F238E27FC236}">
              <a16:creationId xmlns:a16="http://schemas.microsoft.com/office/drawing/2014/main" id="{9233FD1C-E3E7-9610-2F0C-0409A2E915F6}"/>
            </a:ext>
          </a:extLst>
        </xdr:cNvPr>
        <xdr:cNvSpPr>
          <a:spLocks noChangeShapeType="1"/>
        </xdr:cNvSpPr>
      </xdr:nvSpPr>
      <xdr:spPr bwMode="auto">
        <a:xfrm>
          <a:off x="33223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472440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195355" name="Line 77">
          <a:extLst>
            <a:ext uri="{FF2B5EF4-FFF2-40B4-BE49-F238E27FC236}">
              <a16:creationId xmlns:a16="http://schemas.microsoft.com/office/drawing/2014/main" id="{BE252CA9-2DE5-E4D5-12AE-6F6CB29F9C7A}"/>
            </a:ext>
          </a:extLst>
        </xdr:cNvPr>
        <xdr:cNvSpPr>
          <a:spLocks noChangeShapeType="1"/>
        </xdr:cNvSpPr>
      </xdr:nvSpPr>
      <xdr:spPr bwMode="auto">
        <a:xfrm>
          <a:off x="31927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259080</xdr:colOff>
      <xdr:row>11</xdr:row>
      <xdr:rowOff>0</xdr:rowOff>
    </xdr:from>
    <xdr:to>
      <xdr:col>2</xdr:col>
      <xdr:colOff>259080</xdr:colOff>
      <xdr:row>11</xdr:row>
      <xdr:rowOff>0</xdr:rowOff>
    </xdr:to>
    <xdr:sp macro="" textlink="">
      <xdr:nvSpPr>
        <xdr:cNvPr id="195356" name="Line 79">
          <a:extLst>
            <a:ext uri="{FF2B5EF4-FFF2-40B4-BE49-F238E27FC236}">
              <a16:creationId xmlns:a16="http://schemas.microsoft.com/office/drawing/2014/main" id="{7A5AE58D-9F46-EFD3-F2B8-096A431BA961}"/>
            </a:ext>
          </a:extLst>
        </xdr:cNvPr>
        <xdr:cNvSpPr>
          <a:spLocks noChangeShapeType="1"/>
        </xdr:cNvSpPr>
      </xdr:nvSpPr>
      <xdr:spPr bwMode="auto">
        <a:xfrm>
          <a:off x="29794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129540</xdr:colOff>
      <xdr:row>11</xdr:row>
      <xdr:rowOff>0</xdr:rowOff>
    </xdr:from>
    <xdr:to>
      <xdr:col>2</xdr:col>
      <xdr:colOff>129540</xdr:colOff>
      <xdr:row>11</xdr:row>
      <xdr:rowOff>0</xdr:rowOff>
    </xdr:to>
    <xdr:sp macro="" textlink="">
      <xdr:nvSpPr>
        <xdr:cNvPr id="195357" name="Line 80">
          <a:extLst>
            <a:ext uri="{FF2B5EF4-FFF2-40B4-BE49-F238E27FC236}">
              <a16:creationId xmlns:a16="http://schemas.microsoft.com/office/drawing/2014/main" id="{9327225D-F5BA-E3A4-783C-56CD3E5BD4BB}"/>
            </a:ext>
          </a:extLst>
        </xdr:cNvPr>
        <xdr:cNvSpPr>
          <a:spLocks noChangeShapeType="1"/>
        </xdr:cNvSpPr>
      </xdr:nvSpPr>
      <xdr:spPr bwMode="auto">
        <a:xfrm>
          <a:off x="28498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601980</xdr:colOff>
      <xdr:row>11</xdr:row>
      <xdr:rowOff>0</xdr:rowOff>
    </xdr:from>
    <xdr:to>
      <xdr:col>2</xdr:col>
      <xdr:colOff>601980</xdr:colOff>
      <xdr:row>11</xdr:row>
      <xdr:rowOff>0</xdr:rowOff>
    </xdr:to>
    <xdr:sp macro="" textlink="">
      <xdr:nvSpPr>
        <xdr:cNvPr id="195358" name="Line 82">
          <a:extLst>
            <a:ext uri="{FF2B5EF4-FFF2-40B4-BE49-F238E27FC236}">
              <a16:creationId xmlns:a16="http://schemas.microsoft.com/office/drawing/2014/main" id="{B83A0006-EC5D-8EEB-DC19-4FE1C4DA2D14}"/>
            </a:ext>
          </a:extLst>
        </xdr:cNvPr>
        <xdr:cNvSpPr>
          <a:spLocks noChangeShapeType="1"/>
        </xdr:cNvSpPr>
      </xdr:nvSpPr>
      <xdr:spPr bwMode="auto">
        <a:xfrm>
          <a:off x="33223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472440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195359" name="Line 83">
          <a:extLst>
            <a:ext uri="{FF2B5EF4-FFF2-40B4-BE49-F238E27FC236}">
              <a16:creationId xmlns:a16="http://schemas.microsoft.com/office/drawing/2014/main" id="{A2FD2C9D-9693-664F-8422-C6CFD4E83540}"/>
            </a:ext>
          </a:extLst>
        </xdr:cNvPr>
        <xdr:cNvSpPr>
          <a:spLocks noChangeShapeType="1"/>
        </xdr:cNvSpPr>
      </xdr:nvSpPr>
      <xdr:spPr bwMode="auto">
        <a:xfrm>
          <a:off x="31927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259080</xdr:colOff>
      <xdr:row>11</xdr:row>
      <xdr:rowOff>0</xdr:rowOff>
    </xdr:from>
    <xdr:to>
      <xdr:col>2</xdr:col>
      <xdr:colOff>259080</xdr:colOff>
      <xdr:row>11</xdr:row>
      <xdr:rowOff>0</xdr:rowOff>
    </xdr:to>
    <xdr:sp macro="" textlink="">
      <xdr:nvSpPr>
        <xdr:cNvPr id="195360" name="Line 85">
          <a:extLst>
            <a:ext uri="{FF2B5EF4-FFF2-40B4-BE49-F238E27FC236}">
              <a16:creationId xmlns:a16="http://schemas.microsoft.com/office/drawing/2014/main" id="{23E9BFA3-620B-AE0C-BBD4-B9C85A687128}"/>
            </a:ext>
          </a:extLst>
        </xdr:cNvPr>
        <xdr:cNvSpPr>
          <a:spLocks noChangeShapeType="1"/>
        </xdr:cNvSpPr>
      </xdr:nvSpPr>
      <xdr:spPr bwMode="auto">
        <a:xfrm>
          <a:off x="297942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129540</xdr:colOff>
      <xdr:row>11</xdr:row>
      <xdr:rowOff>0</xdr:rowOff>
    </xdr:from>
    <xdr:to>
      <xdr:col>2</xdr:col>
      <xdr:colOff>129540</xdr:colOff>
      <xdr:row>11</xdr:row>
      <xdr:rowOff>0</xdr:rowOff>
    </xdr:to>
    <xdr:sp macro="" textlink="">
      <xdr:nvSpPr>
        <xdr:cNvPr id="195361" name="Line 86">
          <a:extLst>
            <a:ext uri="{FF2B5EF4-FFF2-40B4-BE49-F238E27FC236}">
              <a16:creationId xmlns:a16="http://schemas.microsoft.com/office/drawing/2014/main" id="{B0DE055C-2939-551E-68E1-0BA7304E7487}"/>
            </a:ext>
          </a:extLst>
        </xdr:cNvPr>
        <xdr:cNvSpPr>
          <a:spLocks noChangeShapeType="1"/>
        </xdr:cNvSpPr>
      </xdr:nvSpPr>
      <xdr:spPr bwMode="auto">
        <a:xfrm>
          <a:off x="28498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11</xdr:row>
      <xdr:rowOff>0</xdr:rowOff>
    </xdr:from>
    <xdr:to>
      <xdr:col>2</xdr:col>
      <xdr:colOff>548640</xdr:colOff>
      <xdr:row>11</xdr:row>
      <xdr:rowOff>0</xdr:rowOff>
    </xdr:to>
    <xdr:sp macro="" textlink="">
      <xdr:nvSpPr>
        <xdr:cNvPr id="195362" name="Line 88">
          <a:extLst>
            <a:ext uri="{FF2B5EF4-FFF2-40B4-BE49-F238E27FC236}">
              <a16:creationId xmlns:a16="http://schemas.microsoft.com/office/drawing/2014/main" id="{EEAE1C1B-2885-8673-3649-72EB6703621A}"/>
            </a:ext>
          </a:extLst>
        </xdr:cNvPr>
        <xdr:cNvSpPr>
          <a:spLocks noChangeShapeType="1"/>
        </xdr:cNvSpPr>
      </xdr:nvSpPr>
      <xdr:spPr bwMode="auto">
        <a:xfrm>
          <a:off x="326898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533400</xdr:colOff>
      <xdr:row>11</xdr:row>
      <xdr:rowOff>0</xdr:rowOff>
    </xdr:from>
    <xdr:to>
      <xdr:col>2</xdr:col>
      <xdr:colOff>533400</xdr:colOff>
      <xdr:row>11</xdr:row>
      <xdr:rowOff>0</xdr:rowOff>
    </xdr:to>
    <xdr:sp macro="" textlink="">
      <xdr:nvSpPr>
        <xdr:cNvPr id="195363" name="Line 99">
          <a:extLst>
            <a:ext uri="{FF2B5EF4-FFF2-40B4-BE49-F238E27FC236}">
              <a16:creationId xmlns:a16="http://schemas.microsoft.com/office/drawing/2014/main" id="{CE88837B-84DE-ED25-DE78-28BF97908EFD}"/>
            </a:ext>
          </a:extLst>
        </xdr:cNvPr>
        <xdr:cNvSpPr>
          <a:spLocks noChangeShapeType="1"/>
        </xdr:cNvSpPr>
      </xdr:nvSpPr>
      <xdr:spPr bwMode="auto">
        <a:xfrm>
          <a:off x="3253740" y="11536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0</xdr:row>
      <xdr:rowOff>0</xdr:rowOff>
    </xdr:from>
    <xdr:to>
      <xdr:col>1</xdr:col>
      <xdr:colOff>548640</xdr:colOff>
      <xdr:row>0</xdr:row>
      <xdr:rowOff>0</xdr:rowOff>
    </xdr:to>
    <xdr:sp macro="" textlink="">
      <xdr:nvSpPr>
        <xdr:cNvPr id="197346" name="Line 1">
          <a:extLst>
            <a:ext uri="{FF2B5EF4-FFF2-40B4-BE49-F238E27FC236}">
              <a16:creationId xmlns:a16="http://schemas.microsoft.com/office/drawing/2014/main" id="{D7BAFE04-71A5-5A0B-B287-D9486ED56B73}"/>
            </a:ext>
          </a:extLst>
        </xdr:cNvPr>
        <xdr:cNvSpPr>
          <a:spLocks noChangeShapeType="1"/>
        </xdr:cNvSpPr>
      </xdr:nvSpPr>
      <xdr:spPr bwMode="auto">
        <a:xfrm>
          <a:off x="37033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533400</xdr:colOff>
      <xdr:row>0</xdr:row>
      <xdr:rowOff>0</xdr:rowOff>
    </xdr:from>
    <xdr:to>
      <xdr:col>1</xdr:col>
      <xdr:colOff>533400</xdr:colOff>
      <xdr:row>0</xdr:row>
      <xdr:rowOff>0</xdr:rowOff>
    </xdr:to>
    <xdr:sp macro="" textlink="">
      <xdr:nvSpPr>
        <xdr:cNvPr id="197347" name="Line 2">
          <a:extLst>
            <a:ext uri="{FF2B5EF4-FFF2-40B4-BE49-F238E27FC236}">
              <a16:creationId xmlns:a16="http://schemas.microsoft.com/office/drawing/2014/main" id="{15B634DC-5159-9184-8BA0-A491DD86A4B3}"/>
            </a:ext>
          </a:extLst>
        </xdr:cNvPr>
        <xdr:cNvSpPr>
          <a:spLocks noChangeShapeType="1"/>
        </xdr:cNvSpPr>
      </xdr:nvSpPr>
      <xdr:spPr bwMode="auto">
        <a:xfrm>
          <a:off x="36880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251460</xdr:colOff>
      <xdr:row>0</xdr:row>
      <xdr:rowOff>0</xdr:rowOff>
    </xdr:from>
    <xdr:to>
      <xdr:col>1</xdr:col>
      <xdr:colOff>251460</xdr:colOff>
      <xdr:row>0</xdr:row>
      <xdr:rowOff>0</xdr:rowOff>
    </xdr:to>
    <xdr:sp macro="" textlink="">
      <xdr:nvSpPr>
        <xdr:cNvPr id="197348" name="Line 3">
          <a:extLst>
            <a:ext uri="{FF2B5EF4-FFF2-40B4-BE49-F238E27FC236}">
              <a16:creationId xmlns:a16="http://schemas.microsoft.com/office/drawing/2014/main" id="{DD739EE9-38C8-4456-862A-62D368AE1828}"/>
            </a:ext>
          </a:extLst>
        </xdr:cNvPr>
        <xdr:cNvSpPr>
          <a:spLocks noChangeShapeType="1"/>
        </xdr:cNvSpPr>
      </xdr:nvSpPr>
      <xdr:spPr bwMode="auto">
        <a:xfrm>
          <a:off x="3406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0</xdr:row>
      <xdr:rowOff>0</xdr:rowOff>
    </xdr:from>
    <xdr:to>
      <xdr:col>1</xdr:col>
      <xdr:colOff>601980</xdr:colOff>
      <xdr:row>0</xdr:row>
      <xdr:rowOff>0</xdr:rowOff>
    </xdr:to>
    <xdr:sp macro="" textlink="">
      <xdr:nvSpPr>
        <xdr:cNvPr id="197349" name="Line 4">
          <a:extLst>
            <a:ext uri="{FF2B5EF4-FFF2-40B4-BE49-F238E27FC236}">
              <a16:creationId xmlns:a16="http://schemas.microsoft.com/office/drawing/2014/main" id="{52DDD563-6E0F-F448-DF3E-6BFC9254C1D0}"/>
            </a:ext>
          </a:extLst>
        </xdr:cNvPr>
        <xdr:cNvSpPr>
          <a:spLocks noChangeShapeType="1"/>
        </xdr:cNvSpPr>
      </xdr:nvSpPr>
      <xdr:spPr bwMode="auto">
        <a:xfrm>
          <a:off x="37566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472440</xdr:colOff>
      <xdr:row>0</xdr:row>
      <xdr:rowOff>0</xdr:rowOff>
    </xdr:from>
    <xdr:to>
      <xdr:col>1</xdr:col>
      <xdr:colOff>472440</xdr:colOff>
      <xdr:row>0</xdr:row>
      <xdr:rowOff>0</xdr:rowOff>
    </xdr:to>
    <xdr:sp macro="" textlink="">
      <xdr:nvSpPr>
        <xdr:cNvPr id="197350" name="Line 5">
          <a:extLst>
            <a:ext uri="{FF2B5EF4-FFF2-40B4-BE49-F238E27FC236}">
              <a16:creationId xmlns:a16="http://schemas.microsoft.com/office/drawing/2014/main" id="{5DB7038D-FDE3-6D26-B3CE-7CE85F6AAF69}"/>
            </a:ext>
          </a:extLst>
        </xdr:cNvPr>
        <xdr:cNvSpPr>
          <a:spLocks noChangeShapeType="1"/>
        </xdr:cNvSpPr>
      </xdr:nvSpPr>
      <xdr:spPr bwMode="auto">
        <a:xfrm>
          <a:off x="36271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251460</xdr:colOff>
      <xdr:row>0</xdr:row>
      <xdr:rowOff>0</xdr:rowOff>
    </xdr:from>
    <xdr:to>
      <xdr:col>1</xdr:col>
      <xdr:colOff>251460</xdr:colOff>
      <xdr:row>0</xdr:row>
      <xdr:rowOff>0</xdr:rowOff>
    </xdr:to>
    <xdr:sp macro="" textlink="">
      <xdr:nvSpPr>
        <xdr:cNvPr id="197351" name="Line 6">
          <a:extLst>
            <a:ext uri="{FF2B5EF4-FFF2-40B4-BE49-F238E27FC236}">
              <a16:creationId xmlns:a16="http://schemas.microsoft.com/office/drawing/2014/main" id="{DE3017BF-F30A-2060-7D67-5209D75E7839}"/>
            </a:ext>
          </a:extLst>
        </xdr:cNvPr>
        <xdr:cNvSpPr>
          <a:spLocks noChangeShapeType="1"/>
        </xdr:cNvSpPr>
      </xdr:nvSpPr>
      <xdr:spPr bwMode="auto">
        <a:xfrm>
          <a:off x="3406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129540</xdr:colOff>
      <xdr:row>0</xdr:row>
      <xdr:rowOff>0</xdr:rowOff>
    </xdr:from>
    <xdr:to>
      <xdr:col>1</xdr:col>
      <xdr:colOff>129540</xdr:colOff>
      <xdr:row>0</xdr:row>
      <xdr:rowOff>0</xdr:rowOff>
    </xdr:to>
    <xdr:sp macro="" textlink="">
      <xdr:nvSpPr>
        <xdr:cNvPr id="197352" name="Line 7">
          <a:extLst>
            <a:ext uri="{FF2B5EF4-FFF2-40B4-BE49-F238E27FC236}">
              <a16:creationId xmlns:a16="http://schemas.microsoft.com/office/drawing/2014/main" id="{2D1307BD-4E8C-334D-9AED-7C53AD0051F7}"/>
            </a:ext>
          </a:extLst>
        </xdr:cNvPr>
        <xdr:cNvSpPr>
          <a:spLocks noChangeShapeType="1"/>
        </xdr:cNvSpPr>
      </xdr:nvSpPr>
      <xdr:spPr bwMode="auto">
        <a:xfrm>
          <a:off x="3284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0</xdr:row>
      <xdr:rowOff>0</xdr:rowOff>
    </xdr:from>
    <xdr:to>
      <xdr:col>1</xdr:col>
      <xdr:colOff>601980</xdr:colOff>
      <xdr:row>0</xdr:row>
      <xdr:rowOff>0</xdr:rowOff>
    </xdr:to>
    <xdr:sp macro="" textlink="">
      <xdr:nvSpPr>
        <xdr:cNvPr id="197353" name="Line 8">
          <a:extLst>
            <a:ext uri="{FF2B5EF4-FFF2-40B4-BE49-F238E27FC236}">
              <a16:creationId xmlns:a16="http://schemas.microsoft.com/office/drawing/2014/main" id="{CEA76093-FE1A-6330-5D13-F0D6D7E46DA5}"/>
            </a:ext>
          </a:extLst>
        </xdr:cNvPr>
        <xdr:cNvSpPr>
          <a:spLocks noChangeShapeType="1"/>
        </xdr:cNvSpPr>
      </xdr:nvSpPr>
      <xdr:spPr bwMode="auto">
        <a:xfrm>
          <a:off x="37566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472440</xdr:colOff>
      <xdr:row>0</xdr:row>
      <xdr:rowOff>0</xdr:rowOff>
    </xdr:from>
    <xdr:to>
      <xdr:col>1</xdr:col>
      <xdr:colOff>472440</xdr:colOff>
      <xdr:row>0</xdr:row>
      <xdr:rowOff>0</xdr:rowOff>
    </xdr:to>
    <xdr:sp macro="" textlink="">
      <xdr:nvSpPr>
        <xdr:cNvPr id="197354" name="Line 9">
          <a:extLst>
            <a:ext uri="{FF2B5EF4-FFF2-40B4-BE49-F238E27FC236}">
              <a16:creationId xmlns:a16="http://schemas.microsoft.com/office/drawing/2014/main" id="{F27274C8-9CF5-ECE6-B0E1-F17E7A78FA28}"/>
            </a:ext>
          </a:extLst>
        </xdr:cNvPr>
        <xdr:cNvSpPr>
          <a:spLocks noChangeShapeType="1"/>
        </xdr:cNvSpPr>
      </xdr:nvSpPr>
      <xdr:spPr bwMode="auto">
        <a:xfrm>
          <a:off x="36271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251460</xdr:colOff>
      <xdr:row>0</xdr:row>
      <xdr:rowOff>0</xdr:rowOff>
    </xdr:from>
    <xdr:to>
      <xdr:col>1</xdr:col>
      <xdr:colOff>251460</xdr:colOff>
      <xdr:row>0</xdr:row>
      <xdr:rowOff>0</xdr:rowOff>
    </xdr:to>
    <xdr:sp macro="" textlink="">
      <xdr:nvSpPr>
        <xdr:cNvPr id="197355" name="Line 10">
          <a:extLst>
            <a:ext uri="{FF2B5EF4-FFF2-40B4-BE49-F238E27FC236}">
              <a16:creationId xmlns:a16="http://schemas.microsoft.com/office/drawing/2014/main" id="{B32F2FB2-6D27-354A-917D-5FFD10D4233A}"/>
            </a:ext>
          </a:extLst>
        </xdr:cNvPr>
        <xdr:cNvSpPr>
          <a:spLocks noChangeShapeType="1"/>
        </xdr:cNvSpPr>
      </xdr:nvSpPr>
      <xdr:spPr bwMode="auto">
        <a:xfrm>
          <a:off x="3406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129540</xdr:colOff>
      <xdr:row>0</xdr:row>
      <xdr:rowOff>0</xdr:rowOff>
    </xdr:from>
    <xdr:to>
      <xdr:col>1</xdr:col>
      <xdr:colOff>129540</xdr:colOff>
      <xdr:row>0</xdr:row>
      <xdr:rowOff>0</xdr:rowOff>
    </xdr:to>
    <xdr:sp macro="" textlink="">
      <xdr:nvSpPr>
        <xdr:cNvPr id="197356" name="Line 11">
          <a:extLst>
            <a:ext uri="{FF2B5EF4-FFF2-40B4-BE49-F238E27FC236}">
              <a16:creationId xmlns:a16="http://schemas.microsoft.com/office/drawing/2014/main" id="{5472E7F8-A13C-48FA-77D3-1EF7A5554DA5}"/>
            </a:ext>
          </a:extLst>
        </xdr:cNvPr>
        <xdr:cNvSpPr>
          <a:spLocks noChangeShapeType="1"/>
        </xdr:cNvSpPr>
      </xdr:nvSpPr>
      <xdr:spPr bwMode="auto">
        <a:xfrm>
          <a:off x="3284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0</xdr:row>
      <xdr:rowOff>0</xdr:rowOff>
    </xdr:from>
    <xdr:to>
      <xdr:col>1</xdr:col>
      <xdr:colOff>601980</xdr:colOff>
      <xdr:row>0</xdr:row>
      <xdr:rowOff>0</xdr:rowOff>
    </xdr:to>
    <xdr:sp macro="" textlink="">
      <xdr:nvSpPr>
        <xdr:cNvPr id="197357" name="Line 12">
          <a:extLst>
            <a:ext uri="{FF2B5EF4-FFF2-40B4-BE49-F238E27FC236}">
              <a16:creationId xmlns:a16="http://schemas.microsoft.com/office/drawing/2014/main" id="{C49852DB-3D24-4144-A165-3216A1325E3E}"/>
            </a:ext>
          </a:extLst>
        </xdr:cNvPr>
        <xdr:cNvSpPr>
          <a:spLocks noChangeShapeType="1"/>
        </xdr:cNvSpPr>
      </xdr:nvSpPr>
      <xdr:spPr bwMode="auto">
        <a:xfrm>
          <a:off x="37566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472440</xdr:colOff>
      <xdr:row>0</xdr:row>
      <xdr:rowOff>0</xdr:rowOff>
    </xdr:from>
    <xdr:to>
      <xdr:col>1</xdr:col>
      <xdr:colOff>472440</xdr:colOff>
      <xdr:row>0</xdr:row>
      <xdr:rowOff>0</xdr:rowOff>
    </xdr:to>
    <xdr:sp macro="" textlink="">
      <xdr:nvSpPr>
        <xdr:cNvPr id="197358" name="Line 13">
          <a:extLst>
            <a:ext uri="{FF2B5EF4-FFF2-40B4-BE49-F238E27FC236}">
              <a16:creationId xmlns:a16="http://schemas.microsoft.com/office/drawing/2014/main" id="{51718D3B-8F89-F5E0-DEF9-CCD3C2ECD720}"/>
            </a:ext>
          </a:extLst>
        </xdr:cNvPr>
        <xdr:cNvSpPr>
          <a:spLocks noChangeShapeType="1"/>
        </xdr:cNvSpPr>
      </xdr:nvSpPr>
      <xdr:spPr bwMode="auto">
        <a:xfrm>
          <a:off x="36271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251460</xdr:colOff>
      <xdr:row>0</xdr:row>
      <xdr:rowOff>0</xdr:rowOff>
    </xdr:from>
    <xdr:to>
      <xdr:col>1</xdr:col>
      <xdr:colOff>251460</xdr:colOff>
      <xdr:row>0</xdr:row>
      <xdr:rowOff>0</xdr:rowOff>
    </xdr:to>
    <xdr:sp macro="" textlink="">
      <xdr:nvSpPr>
        <xdr:cNvPr id="197359" name="Line 14">
          <a:extLst>
            <a:ext uri="{FF2B5EF4-FFF2-40B4-BE49-F238E27FC236}">
              <a16:creationId xmlns:a16="http://schemas.microsoft.com/office/drawing/2014/main" id="{C114BB72-0765-C0A5-F14B-B9688B421F03}"/>
            </a:ext>
          </a:extLst>
        </xdr:cNvPr>
        <xdr:cNvSpPr>
          <a:spLocks noChangeShapeType="1"/>
        </xdr:cNvSpPr>
      </xdr:nvSpPr>
      <xdr:spPr bwMode="auto">
        <a:xfrm>
          <a:off x="3406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129540</xdr:colOff>
      <xdr:row>0</xdr:row>
      <xdr:rowOff>0</xdr:rowOff>
    </xdr:from>
    <xdr:to>
      <xdr:col>1</xdr:col>
      <xdr:colOff>129540</xdr:colOff>
      <xdr:row>0</xdr:row>
      <xdr:rowOff>0</xdr:rowOff>
    </xdr:to>
    <xdr:sp macro="" textlink="">
      <xdr:nvSpPr>
        <xdr:cNvPr id="197360" name="Line 15">
          <a:extLst>
            <a:ext uri="{FF2B5EF4-FFF2-40B4-BE49-F238E27FC236}">
              <a16:creationId xmlns:a16="http://schemas.microsoft.com/office/drawing/2014/main" id="{AB53DC31-93DA-825F-4848-0F3FF574364D}"/>
            </a:ext>
          </a:extLst>
        </xdr:cNvPr>
        <xdr:cNvSpPr>
          <a:spLocks noChangeShapeType="1"/>
        </xdr:cNvSpPr>
      </xdr:nvSpPr>
      <xdr:spPr bwMode="auto">
        <a:xfrm>
          <a:off x="3284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548640</xdr:colOff>
      <xdr:row>0</xdr:row>
      <xdr:rowOff>0</xdr:rowOff>
    </xdr:from>
    <xdr:to>
      <xdr:col>1</xdr:col>
      <xdr:colOff>548640</xdr:colOff>
      <xdr:row>0</xdr:row>
      <xdr:rowOff>0</xdr:rowOff>
    </xdr:to>
    <xdr:sp macro="" textlink="">
      <xdr:nvSpPr>
        <xdr:cNvPr id="197361" name="Line 16">
          <a:extLst>
            <a:ext uri="{FF2B5EF4-FFF2-40B4-BE49-F238E27FC236}">
              <a16:creationId xmlns:a16="http://schemas.microsoft.com/office/drawing/2014/main" id="{ECC27E04-EB38-4D34-5531-16772E31BE6F}"/>
            </a:ext>
          </a:extLst>
        </xdr:cNvPr>
        <xdr:cNvSpPr>
          <a:spLocks noChangeShapeType="1"/>
        </xdr:cNvSpPr>
      </xdr:nvSpPr>
      <xdr:spPr bwMode="auto">
        <a:xfrm>
          <a:off x="37033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533400</xdr:colOff>
      <xdr:row>0</xdr:row>
      <xdr:rowOff>0</xdr:rowOff>
    </xdr:from>
    <xdr:to>
      <xdr:col>1</xdr:col>
      <xdr:colOff>533400</xdr:colOff>
      <xdr:row>0</xdr:row>
      <xdr:rowOff>0</xdr:rowOff>
    </xdr:to>
    <xdr:sp macro="" textlink="">
      <xdr:nvSpPr>
        <xdr:cNvPr id="197362" name="Line 17">
          <a:extLst>
            <a:ext uri="{FF2B5EF4-FFF2-40B4-BE49-F238E27FC236}">
              <a16:creationId xmlns:a16="http://schemas.microsoft.com/office/drawing/2014/main" id="{F9523756-262B-300D-CDBE-7B385D664722}"/>
            </a:ext>
          </a:extLst>
        </xdr:cNvPr>
        <xdr:cNvSpPr>
          <a:spLocks noChangeShapeType="1"/>
        </xdr:cNvSpPr>
      </xdr:nvSpPr>
      <xdr:spPr bwMode="auto">
        <a:xfrm>
          <a:off x="36880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graphicFrame macro="">
      <xdr:nvGraphicFramePr>
        <xdr:cNvPr id="3394" name="Chart 1">
          <a:extLst>
            <a:ext uri="{FF2B5EF4-FFF2-40B4-BE49-F238E27FC236}">
              <a16:creationId xmlns:a16="http://schemas.microsoft.com/office/drawing/2014/main" id="{AB763266-19DE-2453-66EF-7A24FD2D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8964</xdr:colOff>
      <xdr:row>29</xdr:row>
      <xdr:rowOff>86508</xdr:rowOff>
    </xdr:from>
    <xdr:to>
      <xdr:col>7</xdr:col>
      <xdr:colOff>47064</xdr:colOff>
      <xdr:row>55</xdr:row>
      <xdr:rowOff>14342</xdr:rowOff>
    </xdr:to>
    <xdr:pic>
      <xdr:nvPicPr>
        <xdr:cNvPr id="3395" name="Imagen 1" descr="Recorte de pantalla">
          <a:extLst>
            <a:ext uri="{FF2B5EF4-FFF2-40B4-BE49-F238E27FC236}">
              <a16:creationId xmlns:a16="http://schemas.microsoft.com/office/drawing/2014/main" id="{E4593E33-6142-1F1F-27D0-C45E1D5CF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3"/>
        <a:stretch>
          <a:fillRect/>
        </a:stretch>
      </xdr:blipFill>
      <xdr:spPr bwMode="auto">
        <a:xfrm>
          <a:off x="8964" y="5339826"/>
          <a:ext cx="5963771" cy="4589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zoomScale="85" zoomScaleNormal="85" workbookViewId="0">
      <selection activeCell="F20" sqref="F20"/>
    </sheetView>
  </sheetViews>
  <sheetFormatPr baseColWidth="10" defaultColWidth="9.109375" defaultRowHeight="13.8" x14ac:dyDescent="0.3"/>
  <cols>
    <col min="1" max="1" width="4.33203125" style="2" customWidth="1"/>
    <col min="2" max="3" width="35.33203125" style="2" customWidth="1"/>
    <col min="4" max="7" width="5.5546875" style="15" customWidth="1"/>
    <col min="8" max="8" width="7.109375" style="15" customWidth="1"/>
    <col min="9" max="9" width="6" style="15" customWidth="1"/>
    <col min="10" max="10" width="7.109375" style="2" bestFit="1" customWidth="1"/>
    <col min="11" max="11" width="6.44140625" style="2" customWidth="1"/>
    <col min="12" max="13" width="5.6640625" style="2" customWidth="1"/>
    <col min="14" max="15" width="9" style="2" customWidth="1"/>
    <col min="16" max="16" width="14" style="2" bestFit="1" customWidth="1"/>
    <col min="17" max="17" width="15" style="2" customWidth="1"/>
    <col min="18" max="18" width="2.88671875" style="2" customWidth="1"/>
    <col min="19" max="19" width="7.5546875" style="15" customWidth="1"/>
    <col min="20" max="21" width="11.88671875" style="15" customWidth="1"/>
    <col min="22" max="22" width="27" style="1" customWidth="1"/>
    <col min="23" max="16384" width="9.109375" style="1"/>
  </cols>
  <sheetData>
    <row r="1" spans="1:22" s="81" customFormat="1" ht="19.5" customHeight="1" x14ac:dyDescent="0.3">
      <c r="A1" s="16" t="s">
        <v>75</v>
      </c>
      <c r="B1" s="16"/>
      <c r="C1" s="16"/>
      <c r="D1" s="80"/>
      <c r="E1" s="80"/>
      <c r="F1" s="80"/>
      <c r="G1" s="80"/>
      <c r="H1" s="80"/>
      <c r="I1" s="80"/>
      <c r="J1" s="16"/>
      <c r="K1" s="16"/>
      <c r="L1" s="16"/>
      <c r="M1" s="16"/>
      <c r="N1" s="16"/>
      <c r="O1" s="16"/>
      <c r="P1" s="16"/>
      <c r="Q1" s="16"/>
      <c r="R1" s="16"/>
      <c r="S1" s="80"/>
      <c r="T1" s="80"/>
      <c r="U1" s="80"/>
      <c r="V1" s="80"/>
    </row>
    <row r="2" spans="1:22" x14ac:dyDescent="0.3">
      <c r="A2" s="86" t="s">
        <v>54</v>
      </c>
      <c r="B2" s="86" t="s">
        <v>6</v>
      </c>
      <c r="C2" s="86" t="s">
        <v>1</v>
      </c>
      <c r="D2" s="86" t="s">
        <v>24</v>
      </c>
      <c r="E2" s="86"/>
      <c r="F2" s="86"/>
      <c r="G2" s="86"/>
      <c r="H2" s="86" t="s">
        <v>13</v>
      </c>
      <c r="I2" s="86"/>
      <c r="J2" s="86" t="s">
        <v>9</v>
      </c>
      <c r="K2" s="86"/>
      <c r="L2" s="86" t="s">
        <v>7</v>
      </c>
      <c r="M2" s="86"/>
      <c r="N2" s="15" t="s">
        <v>16</v>
      </c>
      <c r="O2" s="15" t="s">
        <v>9</v>
      </c>
      <c r="P2" s="15" t="s">
        <v>12</v>
      </c>
      <c r="Q2" s="15" t="s">
        <v>19</v>
      </c>
      <c r="S2" s="86" t="s">
        <v>25</v>
      </c>
      <c r="T2" s="86"/>
      <c r="U2" s="15" t="s">
        <v>58</v>
      </c>
      <c r="V2" s="15" t="s">
        <v>87</v>
      </c>
    </row>
    <row r="3" spans="1:22" x14ac:dyDescent="0.3">
      <c r="A3" s="86"/>
      <c r="B3" s="86"/>
      <c r="C3" s="86"/>
      <c r="D3" s="15" t="s">
        <v>34</v>
      </c>
      <c r="E3" s="15" t="s">
        <v>35</v>
      </c>
      <c r="F3" s="15" t="s">
        <v>62</v>
      </c>
      <c r="G3" s="15" t="s">
        <v>23</v>
      </c>
      <c r="H3" s="15" t="s">
        <v>17</v>
      </c>
      <c r="I3" s="15" t="s">
        <v>11</v>
      </c>
      <c r="J3" s="15" t="s">
        <v>18</v>
      </c>
      <c r="K3" s="15" t="s">
        <v>10</v>
      </c>
      <c r="L3" s="86" t="s">
        <v>8</v>
      </c>
      <c r="M3" s="86"/>
      <c r="N3" s="15" t="s">
        <v>8</v>
      </c>
      <c r="O3" s="15" t="s">
        <v>15</v>
      </c>
      <c r="P3" s="15" t="s">
        <v>14</v>
      </c>
      <c r="Q3" s="15" t="s">
        <v>20</v>
      </c>
      <c r="S3" s="3" t="s">
        <v>59</v>
      </c>
      <c r="T3" s="3" t="s">
        <v>30</v>
      </c>
      <c r="U3" s="15" t="s">
        <v>26</v>
      </c>
      <c r="V3" s="15"/>
    </row>
    <row r="4" spans="1:22" s="2" customFormat="1" ht="17.25" customHeight="1" x14ac:dyDescent="0.25">
      <c r="A4" s="15">
        <v>1</v>
      </c>
      <c r="B4" s="2" t="s">
        <v>82</v>
      </c>
      <c r="C4" s="2" t="s">
        <v>72</v>
      </c>
      <c r="D4" s="15">
        <v>40</v>
      </c>
      <c r="E4" s="15">
        <v>40</v>
      </c>
      <c r="F4" s="4"/>
      <c r="G4" s="15">
        <v>2</v>
      </c>
      <c r="H4" s="5">
        <v>1130</v>
      </c>
      <c r="I4" s="6">
        <v>6000</v>
      </c>
      <c r="J4" s="15">
        <v>4</v>
      </c>
      <c r="K4" s="15">
        <f>J4*'Costo Directo'!$B$3</f>
        <v>120</v>
      </c>
      <c r="L4" s="6">
        <f t="shared" ref="L4:L9" si="0">ROUNDDOWN(I4/H4,0)</f>
        <v>5</v>
      </c>
      <c r="M4" s="7">
        <f t="shared" ref="M4:M9" si="1">ROUNDDOWN((I4-N4)/I4,2)</f>
        <v>0.94</v>
      </c>
      <c r="N4" s="8">
        <f t="shared" ref="N4:N9" si="2">I4-L4*H4</f>
        <v>350</v>
      </c>
      <c r="O4" s="11">
        <f t="shared" ref="O4:O9" si="3">ROUNDUP(K4/L4,0)</f>
        <v>24</v>
      </c>
      <c r="P4" s="9">
        <f>+$C$13*S4*I4/1000</f>
        <v>12474</v>
      </c>
      <c r="Q4" s="10">
        <f t="shared" ref="Q4:Q9" si="4">+P4/L4*J4</f>
        <v>9979.2000000000007</v>
      </c>
      <c r="S4" s="11">
        <v>2.31</v>
      </c>
      <c r="T4" s="12">
        <f t="shared" ref="T4:T9" si="5">S4*H4/1000*J4</f>
        <v>10.4412</v>
      </c>
      <c r="U4" s="13">
        <f t="shared" ref="U4:U9" si="6">(D4+E4+F4*2)*2*H4*J4</f>
        <v>723200</v>
      </c>
      <c r="V4" s="13"/>
    </row>
    <row r="5" spans="1:22" s="2" customFormat="1" ht="17.25" customHeight="1" x14ac:dyDescent="0.25">
      <c r="A5" s="15">
        <v>2</v>
      </c>
      <c r="B5" s="2" t="s">
        <v>83</v>
      </c>
      <c r="C5" s="2" t="s">
        <v>72</v>
      </c>
      <c r="D5" s="15">
        <v>40</v>
      </c>
      <c r="E5" s="15">
        <v>40</v>
      </c>
      <c r="F5" s="4"/>
      <c r="G5" s="15">
        <v>2</v>
      </c>
      <c r="H5" s="5">
        <v>700</v>
      </c>
      <c r="I5" s="6">
        <v>6000</v>
      </c>
      <c r="J5" s="15">
        <v>4</v>
      </c>
      <c r="K5" s="15">
        <f>J5*'Costo Directo'!$B$3</f>
        <v>120</v>
      </c>
      <c r="L5" s="6">
        <f t="shared" si="0"/>
        <v>8</v>
      </c>
      <c r="M5" s="7">
        <f t="shared" si="1"/>
        <v>0.93</v>
      </c>
      <c r="N5" s="8">
        <f t="shared" si="2"/>
        <v>400</v>
      </c>
      <c r="O5" s="11">
        <f t="shared" si="3"/>
        <v>15</v>
      </c>
      <c r="P5" s="9">
        <f>+$C$13*S5*I5/1000</f>
        <v>12474</v>
      </c>
      <c r="Q5" s="10">
        <f t="shared" si="4"/>
        <v>6237</v>
      </c>
      <c r="S5" s="11">
        <v>2.31</v>
      </c>
      <c r="T5" s="12">
        <f t="shared" si="5"/>
        <v>6.468</v>
      </c>
      <c r="U5" s="13">
        <f t="shared" si="6"/>
        <v>448000</v>
      </c>
      <c r="V5" s="13"/>
    </row>
    <row r="6" spans="1:22" s="2" customFormat="1" ht="17.25" customHeight="1" x14ac:dyDescent="0.25">
      <c r="A6" s="15">
        <v>3</v>
      </c>
      <c r="B6" s="2" t="s">
        <v>85</v>
      </c>
      <c r="C6" s="2" t="s">
        <v>72</v>
      </c>
      <c r="D6" s="15">
        <v>40</v>
      </c>
      <c r="E6" s="15">
        <v>40</v>
      </c>
      <c r="F6" s="4"/>
      <c r="G6" s="15">
        <v>2</v>
      </c>
      <c r="H6" s="89">
        <v>170</v>
      </c>
      <c r="I6" s="6">
        <v>6000</v>
      </c>
      <c r="J6" s="15">
        <v>4</v>
      </c>
      <c r="K6" s="15">
        <f>J6*'Costo Directo'!$B$3</f>
        <v>120</v>
      </c>
      <c r="L6" s="6">
        <f t="shared" si="0"/>
        <v>35</v>
      </c>
      <c r="M6" s="7">
        <f t="shared" si="1"/>
        <v>0.99</v>
      </c>
      <c r="N6" s="8">
        <f t="shared" si="2"/>
        <v>50</v>
      </c>
      <c r="O6" s="11">
        <f t="shared" si="3"/>
        <v>4</v>
      </c>
      <c r="P6" s="9">
        <f>+$C$13*S6*I6/1000</f>
        <v>12474</v>
      </c>
      <c r="Q6" s="10">
        <f t="shared" si="4"/>
        <v>1425.6</v>
      </c>
      <c r="S6" s="11">
        <v>2.31</v>
      </c>
      <c r="T6" s="12">
        <f t="shared" si="5"/>
        <v>1.5708</v>
      </c>
      <c r="U6" s="13">
        <f t="shared" si="6"/>
        <v>108800</v>
      </c>
      <c r="V6" s="13"/>
    </row>
    <row r="7" spans="1:22" s="2" customFormat="1" ht="17.25" customHeight="1" x14ac:dyDescent="0.25">
      <c r="A7" s="15">
        <v>4</v>
      </c>
      <c r="B7" s="2" t="s">
        <v>84</v>
      </c>
      <c r="C7" s="2" t="s">
        <v>72</v>
      </c>
      <c r="D7" s="15">
        <v>40</v>
      </c>
      <c r="E7" s="15">
        <v>40</v>
      </c>
      <c r="F7" s="4"/>
      <c r="G7" s="15">
        <v>2</v>
      </c>
      <c r="H7" s="89">
        <v>250</v>
      </c>
      <c r="I7" s="6">
        <v>6000</v>
      </c>
      <c r="J7" s="15">
        <v>4</v>
      </c>
      <c r="K7" s="15">
        <f>J7*'Costo Directo'!$B$3</f>
        <v>120</v>
      </c>
      <c r="L7" s="6">
        <f t="shared" si="0"/>
        <v>24</v>
      </c>
      <c r="M7" s="7">
        <f t="shared" si="1"/>
        <v>1</v>
      </c>
      <c r="N7" s="8">
        <f t="shared" si="2"/>
        <v>0</v>
      </c>
      <c r="O7" s="11">
        <f t="shared" si="3"/>
        <v>5</v>
      </c>
      <c r="P7" s="9">
        <f>+$C$13*S7*I7/1000</f>
        <v>12474</v>
      </c>
      <c r="Q7" s="10">
        <f t="shared" si="4"/>
        <v>2079</v>
      </c>
      <c r="S7" s="11">
        <v>2.31</v>
      </c>
      <c r="T7" s="12">
        <f t="shared" si="5"/>
        <v>2.31</v>
      </c>
      <c r="U7" s="13">
        <f t="shared" si="6"/>
        <v>160000</v>
      </c>
      <c r="V7" s="13"/>
    </row>
    <row r="8" spans="1:22" s="2" customFormat="1" ht="17.25" customHeight="1" x14ac:dyDescent="0.25">
      <c r="A8" s="15">
        <v>5</v>
      </c>
      <c r="B8" s="2" t="s">
        <v>73</v>
      </c>
      <c r="C8" s="2" t="s">
        <v>53</v>
      </c>
      <c r="D8" s="15">
        <v>38</v>
      </c>
      <c r="E8" s="15"/>
      <c r="F8" s="4"/>
      <c r="G8" s="15">
        <v>5</v>
      </c>
      <c r="H8" s="89">
        <v>210</v>
      </c>
      <c r="I8" s="6">
        <v>6000</v>
      </c>
      <c r="J8" s="15">
        <v>8</v>
      </c>
      <c r="K8" s="15">
        <f>J8*'Costo Directo'!$B$3</f>
        <v>240</v>
      </c>
      <c r="L8" s="6">
        <f t="shared" si="0"/>
        <v>28</v>
      </c>
      <c r="M8" s="7">
        <f t="shared" si="1"/>
        <v>0.98</v>
      </c>
      <c r="N8" s="8">
        <f t="shared" si="2"/>
        <v>120</v>
      </c>
      <c r="O8" s="11">
        <f t="shared" si="3"/>
        <v>9</v>
      </c>
      <c r="P8" s="9">
        <f>+$C$15*S8*I8/1000</f>
        <v>8940</v>
      </c>
      <c r="Q8" s="10">
        <f t="shared" si="4"/>
        <v>2554.2857142857142</v>
      </c>
      <c r="S8" s="11">
        <v>1.49</v>
      </c>
      <c r="T8" s="12">
        <f t="shared" si="5"/>
        <v>2.5031999999999996</v>
      </c>
      <c r="U8" s="13">
        <f t="shared" si="6"/>
        <v>127680</v>
      </c>
      <c r="V8" s="13"/>
    </row>
    <row r="9" spans="1:22" s="2" customFormat="1" ht="17.25" customHeight="1" x14ac:dyDescent="0.25">
      <c r="A9" s="15">
        <v>6</v>
      </c>
      <c r="B9" s="2" t="s">
        <v>74</v>
      </c>
      <c r="C9" s="2" t="s">
        <v>53</v>
      </c>
      <c r="D9" s="15">
        <v>38</v>
      </c>
      <c r="E9" s="15"/>
      <c r="F9" s="4"/>
      <c r="G9" s="15">
        <v>5</v>
      </c>
      <c r="H9" s="89">
        <v>210</v>
      </c>
      <c r="I9" s="6">
        <v>6000</v>
      </c>
      <c r="J9" s="15">
        <v>8</v>
      </c>
      <c r="K9" s="15">
        <f>J9*'Costo Directo'!$B$3</f>
        <v>240</v>
      </c>
      <c r="L9" s="6">
        <f t="shared" si="0"/>
        <v>28</v>
      </c>
      <c r="M9" s="7">
        <f t="shared" si="1"/>
        <v>0.98</v>
      </c>
      <c r="N9" s="8">
        <f t="shared" si="2"/>
        <v>120</v>
      </c>
      <c r="O9" s="11">
        <f t="shared" si="3"/>
        <v>9</v>
      </c>
      <c r="P9" s="9">
        <f>+$C$15*S9*I9/1000</f>
        <v>8940</v>
      </c>
      <c r="Q9" s="10">
        <f t="shared" si="4"/>
        <v>2554.2857142857142</v>
      </c>
      <c r="S9" s="11">
        <f>+S8</f>
        <v>1.49</v>
      </c>
      <c r="T9" s="12">
        <f t="shared" si="5"/>
        <v>2.5031999999999996</v>
      </c>
      <c r="U9" s="13">
        <f t="shared" si="6"/>
        <v>127680</v>
      </c>
      <c r="V9" s="13"/>
    </row>
    <row r="10" spans="1:22" s="2" customFormat="1" ht="19.5" customHeight="1" x14ac:dyDescent="0.25">
      <c r="A10" s="24"/>
      <c r="B10" s="24"/>
      <c r="C10" s="25"/>
      <c r="D10" s="26"/>
      <c r="E10" s="26"/>
      <c r="F10" s="26"/>
      <c r="G10" s="26"/>
      <c r="H10" s="26"/>
      <c r="I10" s="26"/>
      <c r="J10" s="24"/>
      <c r="K10" s="24"/>
      <c r="L10" s="24"/>
      <c r="M10" s="24"/>
      <c r="N10" s="24"/>
      <c r="O10" s="24"/>
      <c r="P10" s="27"/>
      <c r="Q10" s="28">
        <f>SUM(Q4:Q9)</f>
        <v>24829.371428571427</v>
      </c>
      <c r="R10" s="24"/>
      <c r="S10" s="29"/>
      <c r="T10" s="29">
        <f>SUM(T4:T9)</f>
        <v>25.796399999999995</v>
      </c>
      <c r="U10" s="29">
        <f>SUM(U4:U9)/(1000*1000)</f>
        <v>1.69536</v>
      </c>
      <c r="V10" s="29"/>
    </row>
    <row r="11" spans="1:22" s="2" customFormat="1" ht="19.5" customHeight="1" x14ac:dyDescent="0.25">
      <c r="C11" s="8"/>
      <c r="D11" s="15"/>
      <c r="E11" s="15"/>
      <c r="F11" s="15"/>
      <c r="G11" s="15"/>
      <c r="H11" s="15"/>
      <c r="I11" s="15"/>
      <c r="P11" s="22"/>
      <c r="Q11" s="10"/>
      <c r="S11" s="17"/>
      <c r="T11" s="17"/>
      <c r="U11" s="23"/>
      <c r="V11" s="23"/>
    </row>
    <row r="12" spans="1:22" s="2" customFormat="1" x14ac:dyDescent="0.25">
      <c r="A12" s="18" t="s">
        <v>61</v>
      </c>
      <c r="B12" s="18"/>
      <c r="C12" s="19"/>
      <c r="D12" s="14"/>
    </row>
    <row r="13" spans="1:22" s="2" customFormat="1" x14ac:dyDescent="0.25">
      <c r="B13" s="2" t="s">
        <v>60</v>
      </c>
      <c r="C13" s="9">
        <v>900</v>
      </c>
      <c r="D13" s="2" t="s">
        <v>56</v>
      </c>
      <c r="E13" s="78"/>
      <c r="F13" s="78"/>
      <c r="G13" s="78"/>
      <c r="V13" s="15"/>
    </row>
    <row r="14" spans="1:22" s="2" customFormat="1" x14ac:dyDescent="0.25">
      <c r="B14" s="2" t="s">
        <v>88</v>
      </c>
      <c r="C14" s="9">
        <v>950</v>
      </c>
      <c r="D14" s="2" t="s">
        <v>56</v>
      </c>
      <c r="E14" s="78"/>
      <c r="F14" s="78"/>
      <c r="G14" s="78"/>
      <c r="V14" s="15"/>
    </row>
    <row r="15" spans="1:22" s="2" customFormat="1" x14ac:dyDescent="0.25">
      <c r="B15" s="2" t="s">
        <v>89</v>
      </c>
      <c r="C15" s="9">
        <v>1000</v>
      </c>
      <c r="D15" s="2" t="s">
        <v>56</v>
      </c>
      <c r="V15" s="15"/>
    </row>
    <row r="16" spans="1:22" s="2" customFormat="1" x14ac:dyDescent="0.25">
      <c r="B16" s="2" t="s">
        <v>95</v>
      </c>
      <c r="C16" s="9">
        <v>900</v>
      </c>
      <c r="D16" s="2" t="s">
        <v>56</v>
      </c>
      <c r="V16" s="15"/>
    </row>
    <row r="17" spans="1:22" s="2" customFormat="1" x14ac:dyDescent="0.25">
      <c r="B17" s="2" t="s">
        <v>90</v>
      </c>
      <c r="C17" s="9">
        <v>2000</v>
      </c>
      <c r="D17" s="2" t="s">
        <v>56</v>
      </c>
      <c r="V17" s="15"/>
    </row>
    <row r="18" spans="1:22" s="2" customFormat="1" x14ac:dyDescent="0.25">
      <c r="A18" s="18" t="s">
        <v>79</v>
      </c>
      <c r="B18" s="18"/>
      <c r="C18" s="19"/>
      <c r="D18" s="14"/>
    </row>
    <row r="19" spans="1:22" s="2" customFormat="1" x14ac:dyDescent="0.25">
      <c r="B19" s="2" t="s">
        <v>91</v>
      </c>
      <c r="C19" s="9">
        <v>460</v>
      </c>
      <c r="D19" s="2" t="s">
        <v>56</v>
      </c>
      <c r="S19" s="15"/>
    </row>
    <row r="20" spans="1:22" s="2" customFormat="1" x14ac:dyDescent="0.25">
      <c r="B20" s="2" t="s">
        <v>33</v>
      </c>
      <c r="C20" s="9">
        <v>460</v>
      </c>
      <c r="D20" s="2" t="s">
        <v>56</v>
      </c>
      <c r="S20" s="15"/>
    </row>
    <row r="21" spans="1:22" s="2" customFormat="1" x14ac:dyDescent="0.25">
      <c r="B21" s="2" t="s">
        <v>92</v>
      </c>
      <c r="C21" s="9">
        <v>620</v>
      </c>
      <c r="D21" s="2" t="s">
        <v>56</v>
      </c>
      <c r="S21" s="15"/>
    </row>
    <row r="22" spans="1:22" s="2" customFormat="1" x14ac:dyDescent="0.25">
      <c r="B22" s="2" t="s">
        <v>70</v>
      </c>
      <c r="C22" s="9">
        <v>250</v>
      </c>
      <c r="D22" s="2" t="s">
        <v>56</v>
      </c>
      <c r="S22" s="15"/>
      <c r="T22" s="15"/>
      <c r="U22" s="15"/>
    </row>
    <row r="23" spans="1:22" s="2" customFormat="1" x14ac:dyDescent="0.25">
      <c r="B23" s="2" t="s">
        <v>80</v>
      </c>
      <c r="C23" s="9">
        <f>2875/1.15*1.35</f>
        <v>3375</v>
      </c>
      <c r="D23" s="2" t="s">
        <v>55</v>
      </c>
      <c r="S23" s="15"/>
      <c r="T23" s="15"/>
      <c r="U23" s="15"/>
    </row>
    <row r="24" spans="1:22" s="2" customFormat="1" x14ac:dyDescent="0.25">
      <c r="B24" s="2" t="s">
        <v>81</v>
      </c>
      <c r="C24" s="9">
        <f>4025/1.15*1.35</f>
        <v>4725.0000000000009</v>
      </c>
      <c r="D24" s="2" t="s">
        <v>55</v>
      </c>
      <c r="E24" s="15"/>
      <c r="S24" s="15"/>
      <c r="T24" s="15"/>
      <c r="U24" s="15"/>
    </row>
    <row r="25" spans="1:22" s="2" customFormat="1" ht="13.8" customHeight="1" x14ac:dyDescent="0.25">
      <c r="B25" s="2" t="s">
        <v>93</v>
      </c>
      <c r="C25" s="9">
        <v>7065</v>
      </c>
      <c r="D25" s="2" t="s">
        <v>55</v>
      </c>
      <c r="E25" s="87" t="s">
        <v>94</v>
      </c>
      <c r="F25" s="87"/>
      <c r="G25" s="87"/>
      <c r="H25" s="87"/>
      <c r="I25" s="87"/>
      <c r="J25" s="87"/>
      <c r="K25" s="87"/>
      <c r="L25" s="87"/>
      <c r="S25" s="15"/>
      <c r="T25" s="15"/>
      <c r="U25" s="15"/>
    </row>
    <row r="26" spans="1:22" s="2" customFormat="1" x14ac:dyDescent="0.25">
      <c r="B26" s="82"/>
      <c r="D26" s="15"/>
      <c r="E26" s="15"/>
      <c r="F26" s="15"/>
      <c r="G26" s="15"/>
      <c r="H26" s="15"/>
      <c r="I26" s="15"/>
      <c r="S26" s="15"/>
      <c r="T26" s="15"/>
      <c r="U26" s="15"/>
    </row>
    <row r="27" spans="1:22" s="2" customFormat="1" x14ac:dyDescent="0.25">
      <c r="B27" s="20" t="s">
        <v>63</v>
      </c>
      <c r="D27" s="15"/>
      <c r="E27" s="15"/>
      <c r="F27" s="15"/>
      <c r="G27" s="15"/>
      <c r="H27" s="15"/>
      <c r="I27" s="15"/>
      <c r="S27" s="15"/>
      <c r="T27" s="15"/>
      <c r="U27" s="15"/>
    </row>
    <row r="28" spans="1:22" x14ac:dyDescent="0.3">
      <c r="B28" s="21" t="s">
        <v>66</v>
      </c>
    </row>
    <row r="29" spans="1:22" x14ac:dyDescent="0.3">
      <c r="B29" s="79" t="s">
        <v>86</v>
      </c>
    </row>
  </sheetData>
  <mergeCells count="10">
    <mergeCell ref="E25:L25"/>
    <mergeCell ref="S2:T2"/>
    <mergeCell ref="D2:G2"/>
    <mergeCell ref="H2:I2"/>
    <mergeCell ref="J2:K2"/>
    <mergeCell ref="L3:M3"/>
    <mergeCell ref="L2:M2"/>
    <mergeCell ref="A2:A3"/>
    <mergeCell ref="B2:B3"/>
    <mergeCell ref="C2:C3"/>
  </mergeCells>
  <phoneticPr fontId="2" type="noConversion"/>
  <pageMargins left="0.33" right="0.66" top="0.71" bottom="0.98425196850393704" header="0.25" footer="0.51181102362204722"/>
  <pageSetup scale="60" orientation="landscape" horizontalDpi="4294967292" verticalDpi="144" r:id="rId1"/>
  <headerFooter alignWithMargins="0">
    <oddHeader>&amp;R&amp;D</oddHeader>
    <oddFooter>&amp;R&amp;"Arial,Negrita Cursiva"&amp;9Producción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="85" zoomScaleNormal="85" workbookViewId="0">
      <selection activeCell="G16" sqref="G16"/>
    </sheetView>
  </sheetViews>
  <sheetFormatPr baseColWidth="10" defaultColWidth="9.109375" defaultRowHeight="13.8" x14ac:dyDescent="0.3"/>
  <cols>
    <col min="1" max="1" width="46" style="1" customWidth="1"/>
    <col min="2" max="2" width="27.33203125" style="1" customWidth="1"/>
    <col min="3" max="3" width="11.5546875" style="1" customWidth="1"/>
    <col min="4" max="5" width="11.5546875" style="3" customWidth="1"/>
    <col min="6" max="6" width="15.33203125" style="3" customWidth="1"/>
    <col min="7" max="7" width="26.6640625" style="1" customWidth="1"/>
    <col min="8" max="16384" width="9.109375" style="1"/>
  </cols>
  <sheetData>
    <row r="1" spans="1:12" s="81" customFormat="1" x14ac:dyDescent="0.3">
      <c r="A1" s="16" t="s">
        <v>57</v>
      </c>
      <c r="B1" s="16"/>
      <c r="C1" s="16"/>
      <c r="D1" s="16"/>
      <c r="E1" s="16"/>
      <c r="F1" s="16"/>
      <c r="G1" s="16"/>
    </row>
    <row r="2" spans="1:12" x14ac:dyDescent="0.3">
      <c r="A2" s="36"/>
      <c r="B2" s="36"/>
      <c r="C2" s="36"/>
      <c r="D2" s="36"/>
      <c r="E2" s="36"/>
      <c r="F2" s="36"/>
      <c r="G2" s="36"/>
    </row>
    <row r="3" spans="1:12" x14ac:dyDescent="0.3">
      <c r="A3" s="88" t="s">
        <v>6</v>
      </c>
      <c r="B3" s="88" t="s">
        <v>2</v>
      </c>
      <c r="C3" s="37" t="s">
        <v>4</v>
      </c>
      <c r="D3" s="37" t="s">
        <v>3</v>
      </c>
      <c r="E3" s="37" t="s">
        <v>12</v>
      </c>
      <c r="F3" s="37" t="s">
        <v>19</v>
      </c>
      <c r="G3" s="37" t="s">
        <v>87</v>
      </c>
    </row>
    <row r="4" spans="1:12" x14ac:dyDescent="0.3">
      <c r="A4" s="88"/>
      <c r="B4" s="88"/>
      <c r="C4" s="38" t="s">
        <v>22</v>
      </c>
      <c r="D4" s="37" t="s">
        <v>50</v>
      </c>
      <c r="E4" s="37" t="s">
        <v>71</v>
      </c>
      <c r="F4" s="37" t="s">
        <v>20</v>
      </c>
      <c r="G4" s="37"/>
      <c r="I4" s="3"/>
      <c r="L4" s="2"/>
    </row>
    <row r="5" spans="1:12" s="2" customFormat="1" x14ac:dyDescent="0.3">
      <c r="A5" s="1" t="s">
        <v>76</v>
      </c>
      <c r="B5" s="2" t="s">
        <v>81</v>
      </c>
      <c r="C5" s="3" t="s">
        <v>51</v>
      </c>
      <c r="D5" s="30">
        <f>+'Materias Primas'!U10</f>
        <v>1.69536</v>
      </c>
      <c r="E5" s="31">
        <f>VLOOKUP(B5,'Materias Primas'!$B$13:$C$46,2,FALSE)</f>
        <v>4725.0000000000009</v>
      </c>
      <c r="F5" s="32">
        <f t="shared" ref="F5:F7" si="0">E5*D5</f>
        <v>8010.5760000000018</v>
      </c>
    </row>
    <row r="6" spans="1:12" s="2" customFormat="1" x14ac:dyDescent="0.3">
      <c r="A6" s="1"/>
      <c r="B6" s="1"/>
      <c r="C6" s="3"/>
      <c r="D6" s="30"/>
      <c r="E6" s="31"/>
      <c r="F6" s="32"/>
    </row>
    <row r="7" spans="1:12" s="2" customFormat="1" x14ac:dyDescent="0.3">
      <c r="A7" s="1" t="s">
        <v>76</v>
      </c>
      <c r="B7" s="2" t="s">
        <v>33</v>
      </c>
      <c r="C7" s="3" t="s">
        <v>30</v>
      </c>
      <c r="D7" s="30">
        <f>+'Materias Primas'!T10</f>
        <v>25.796399999999995</v>
      </c>
      <c r="E7" s="31">
        <f>VLOOKUP(B7,'Materias Primas'!$B$13:$C$46,2,FALSE)</f>
        <v>460</v>
      </c>
      <c r="F7" s="32">
        <f t="shared" si="0"/>
        <v>11866.343999999997</v>
      </c>
    </row>
    <row r="8" spans="1:12" s="2" customFormat="1" x14ac:dyDescent="0.3">
      <c r="A8" s="1"/>
      <c r="B8" s="1"/>
      <c r="C8" s="3"/>
      <c r="D8" s="30"/>
      <c r="E8" s="31"/>
      <c r="F8" s="32"/>
    </row>
    <row r="9" spans="1:12" s="2" customFormat="1" x14ac:dyDescent="0.3">
      <c r="A9" s="1" t="s">
        <v>76</v>
      </c>
      <c r="B9" s="1" t="s">
        <v>36</v>
      </c>
      <c r="C9" s="3" t="s">
        <v>52</v>
      </c>
      <c r="D9" s="30">
        <f>40*4*12*2+40*4*2+40*2*4</f>
        <v>4480</v>
      </c>
      <c r="E9" s="33">
        <v>1.3392857142857142</v>
      </c>
      <c r="F9" s="32">
        <f t="shared" ref="F9:F11" si="1">+E9*D9</f>
        <v>6000</v>
      </c>
    </row>
    <row r="10" spans="1:12" s="2" customFormat="1" x14ac:dyDescent="0.3">
      <c r="A10" s="1"/>
      <c r="B10" s="1"/>
      <c r="C10" s="3"/>
      <c r="D10" s="30"/>
      <c r="E10" s="33"/>
      <c r="F10" s="32"/>
    </row>
    <row r="11" spans="1:12" s="2" customFormat="1" x14ac:dyDescent="0.3">
      <c r="A11" s="34" t="s">
        <v>65</v>
      </c>
      <c r="B11" s="1" t="s">
        <v>67</v>
      </c>
      <c r="C11" s="3" t="s">
        <v>30</v>
      </c>
      <c r="D11" s="30"/>
      <c r="E11" s="31"/>
      <c r="F11" s="32">
        <f t="shared" si="1"/>
        <v>0</v>
      </c>
    </row>
    <row r="12" spans="1:12" s="2" customFormat="1" x14ac:dyDescent="0.3">
      <c r="A12" s="34"/>
      <c r="B12" s="1"/>
      <c r="C12" s="3"/>
      <c r="D12" s="30"/>
      <c r="E12" s="31"/>
      <c r="F12" s="32"/>
    </row>
    <row r="13" spans="1:12" s="2" customFormat="1" x14ac:dyDescent="0.3">
      <c r="A13" s="1" t="s">
        <v>76</v>
      </c>
      <c r="B13" s="1" t="s">
        <v>69</v>
      </c>
      <c r="C13" s="3" t="s">
        <v>68</v>
      </c>
      <c r="D13" s="35">
        <f>98*2</f>
        <v>196</v>
      </c>
      <c r="E13" s="31">
        <v>95000</v>
      </c>
      <c r="F13" s="32">
        <f>+E13*2/D13</f>
        <v>969.38775510204084</v>
      </c>
    </row>
  </sheetData>
  <mergeCells count="2">
    <mergeCell ref="B3:B4"/>
    <mergeCell ref="A3:A4"/>
  </mergeCells>
  <phoneticPr fontId="2" type="noConversion"/>
  <pageMargins left="0.33" right="0.66" top="0.8" bottom="0.98425196850393704" header="0.25" footer="0.51181102362204722"/>
  <pageSetup scale="70" orientation="portrait" horizontalDpi="4294967292" verticalDpi="144" r:id="rId1"/>
  <headerFooter alignWithMargins="0">
    <oddHeader xml:space="preserve">&amp;R&amp;D
</oddHeader>
    <oddFooter>&amp;R&amp;"Arial,Negrita"&amp;9Producción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zoomScale="85" zoomScaleNormal="85" workbookViewId="0">
      <selection activeCell="K22" sqref="K22"/>
    </sheetView>
  </sheetViews>
  <sheetFormatPr baseColWidth="10" defaultColWidth="9.109375" defaultRowHeight="13.8" x14ac:dyDescent="0.3"/>
  <cols>
    <col min="1" max="1" width="20.44140625" style="1" customWidth="1"/>
    <col min="2" max="2" width="14.44140625" style="1" customWidth="1"/>
    <col min="3" max="3" width="7.5546875" style="1" customWidth="1"/>
    <col min="4" max="4" width="14.44140625" style="1" customWidth="1"/>
    <col min="5" max="5" width="7.5546875" style="1" customWidth="1"/>
    <col min="6" max="6" width="14.44140625" style="1" customWidth="1"/>
    <col min="7" max="7" width="7.33203125" style="1" customWidth="1"/>
    <col min="8" max="16384" width="9.109375" style="2"/>
  </cols>
  <sheetData>
    <row r="1" spans="1:7" s="36" customFormat="1" ht="18.75" customHeight="1" x14ac:dyDescent="0.25">
      <c r="A1" s="16" t="s">
        <v>77</v>
      </c>
      <c r="B1" s="16"/>
      <c r="C1" s="16"/>
      <c r="D1" s="16"/>
      <c r="E1" s="16"/>
      <c r="F1" s="16"/>
      <c r="G1" s="16"/>
    </row>
    <row r="2" spans="1:7" ht="6" customHeight="1" x14ac:dyDescent="0.25">
      <c r="A2" s="36"/>
      <c r="B2" s="36"/>
      <c r="C2" s="36"/>
      <c r="D2" s="36"/>
      <c r="E2" s="36"/>
      <c r="F2" s="36"/>
      <c r="G2" s="36"/>
    </row>
    <row r="3" spans="1:7" x14ac:dyDescent="0.3">
      <c r="A3" s="39" t="s">
        <v>27</v>
      </c>
      <c r="B3" s="40">
        <v>30</v>
      </c>
      <c r="C3" s="1" t="s">
        <v>78</v>
      </c>
    </row>
    <row r="4" spans="1:7" ht="8.25" customHeight="1" x14ac:dyDescent="0.3"/>
    <row r="5" spans="1:7" ht="12.75" customHeight="1" x14ac:dyDescent="0.3">
      <c r="B5" s="84" t="s">
        <v>38</v>
      </c>
      <c r="C5" s="85"/>
      <c r="D5" s="84" t="s">
        <v>48</v>
      </c>
      <c r="E5" s="85"/>
      <c r="F5" s="84" t="s">
        <v>33</v>
      </c>
      <c r="G5" s="85"/>
    </row>
    <row r="6" spans="1:7" ht="12.75" customHeight="1" x14ac:dyDescent="0.3">
      <c r="B6" s="41" t="s">
        <v>31</v>
      </c>
      <c r="C6" s="73" t="s">
        <v>0</v>
      </c>
      <c r="D6" s="41" t="s">
        <v>31</v>
      </c>
      <c r="E6" s="73" t="s">
        <v>0</v>
      </c>
      <c r="F6" s="41" t="s">
        <v>31</v>
      </c>
      <c r="G6" s="73" t="s">
        <v>0</v>
      </c>
    </row>
    <row r="7" spans="1:7" x14ac:dyDescent="0.3">
      <c r="A7" s="42" t="s">
        <v>28</v>
      </c>
      <c r="B7" s="43">
        <f>+'Materias Primas'!$Q$10</f>
        <v>24829.371428571427</v>
      </c>
      <c r="C7" s="74">
        <f>B7/B$14</f>
        <v>0.64466559750320207</v>
      </c>
      <c r="D7" s="43">
        <f>+'Materias Primas'!$Q$10</f>
        <v>24829.371428571427</v>
      </c>
      <c r="E7" s="74">
        <f>D7/D$14</f>
        <v>0.5010224048362576</v>
      </c>
      <c r="F7" s="43">
        <f>+'Materias Primas'!$Q$10</f>
        <v>24829.371428571427</v>
      </c>
      <c r="G7" s="74">
        <f t="shared" ref="G7:G13" si="0">F7/F$14</f>
        <v>0.45658259110404054</v>
      </c>
    </row>
    <row r="8" spans="1:7" x14ac:dyDescent="0.3">
      <c r="A8" s="44" t="s">
        <v>49</v>
      </c>
      <c r="B8" s="45">
        <v>0</v>
      </c>
      <c r="C8" s="75">
        <f t="shared" ref="C8:E13" si="1">B8/B$14</f>
        <v>0</v>
      </c>
      <c r="D8" s="45">
        <f>+Subcontratos!F5</f>
        <v>8010.5760000000018</v>
      </c>
      <c r="E8" s="75">
        <f t="shared" si="1"/>
        <v>0.16164235422509557</v>
      </c>
      <c r="F8" s="45">
        <f>+Subcontratos!F7</f>
        <v>11866.343999999997</v>
      </c>
      <c r="G8" s="75">
        <f t="shared" si="0"/>
        <v>0.21820794400849677</v>
      </c>
    </row>
    <row r="9" spans="1:7" x14ac:dyDescent="0.3">
      <c r="A9" s="46" t="s">
        <v>36</v>
      </c>
      <c r="B9" s="45">
        <f>+Subcontratos!$F$9</f>
        <v>6000</v>
      </c>
      <c r="C9" s="75">
        <f t="shared" si="1"/>
        <v>0.15578298452486278</v>
      </c>
      <c r="D9" s="45">
        <f>+Subcontratos!$F$9</f>
        <v>6000</v>
      </c>
      <c r="E9" s="75">
        <f t="shared" si="1"/>
        <v>0.12107170886969591</v>
      </c>
      <c r="F9" s="45">
        <f>+Subcontratos!$F$9</f>
        <v>6000</v>
      </c>
      <c r="G9" s="75">
        <f t="shared" si="0"/>
        <v>0.11033285939215827</v>
      </c>
    </row>
    <row r="10" spans="1:7" x14ac:dyDescent="0.3">
      <c r="A10" s="46" t="s">
        <v>67</v>
      </c>
      <c r="B10" s="45"/>
      <c r="C10" s="75">
        <f t="shared" si="1"/>
        <v>0</v>
      </c>
      <c r="D10" s="45"/>
      <c r="E10" s="75">
        <f t="shared" si="1"/>
        <v>0</v>
      </c>
      <c r="F10" s="45"/>
      <c r="G10" s="75">
        <f t="shared" si="0"/>
        <v>0</v>
      </c>
    </row>
    <row r="11" spans="1:7" x14ac:dyDescent="0.3">
      <c r="A11" s="46" t="s">
        <v>29</v>
      </c>
      <c r="B11" s="47">
        <f>0.095*(B7+B10+B9+B8)*1.135/(1-0.3586)*1.12</f>
        <v>5804.6121159962595</v>
      </c>
      <c r="C11" s="83">
        <f t="shared" si="1"/>
        <v>0.15070996657317937</v>
      </c>
      <c r="D11" s="47">
        <f>0.095*(D7+D10+D9+D8)*1.135/(1-0.3586)*1.13</f>
        <v>7378.1518312735534</v>
      </c>
      <c r="E11" s="83">
        <f t="shared" si="1"/>
        <v>0.14888090841872756</v>
      </c>
      <c r="F11" s="47">
        <f>0.095*(F7+F10+F9+F8)*1.135/(1-0.3586)*1.13</f>
        <v>8110.6049784484821</v>
      </c>
      <c r="G11" s="83">
        <f t="shared" si="0"/>
        <v>0.14914437311208253</v>
      </c>
    </row>
    <row r="12" spans="1:7" x14ac:dyDescent="0.3">
      <c r="A12" s="46" t="s">
        <v>5</v>
      </c>
      <c r="B12" s="47">
        <f>+(B7+B8+B9+B10)*1.135*0.042*1.28</f>
        <v>1881.1342540799999</v>
      </c>
      <c r="C12" s="83">
        <f t="shared" si="1"/>
        <v>4.8841451398755648E-2</v>
      </c>
      <c r="D12" s="47">
        <f>+(D7+D8+D9+D10)*1.135*0.042*1.28</f>
        <v>2369.9203762176003</v>
      </c>
      <c r="E12" s="83">
        <f t="shared" si="1"/>
        <v>4.7821718305629583E-2</v>
      </c>
      <c r="F12" s="47">
        <f>+(F7+F8+F9+F10)*1.135*0.042*1.28</f>
        <v>2605.1900857343999</v>
      </c>
      <c r="G12" s="83">
        <f t="shared" si="0"/>
        <v>4.7906345236529715E-2</v>
      </c>
    </row>
    <row r="13" spans="1:7" x14ac:dyDescent="0.3">
      <c r="A13" s="46" t="s">
        <v>69</v>
      </c>
      <c r="B13" s="47"/>
      <c r="C13" s="75">
        <f t="shared" si="1"/>
        <v>0</v>
      </c>
      <c r="D13" s="47">
        <f>+Subcontratos!$F$13</f>
        <v>969.38775510204084</v>
      </c>
      <c r="E13" s="75">
        <f t="shared" si="1"/>
        <v>1.9560905344593729E-2</v>
      </c>
      <c r="F13" s="47">
        <f>+Subcontratos!$F$13</f>
        <v>969.38775510204084</v>
      </c>
      <c r="G13" s="75">
        <f t="shared" si="0"/>
        <v>1.782588714669224E-2</v>
      </c>
    </row>
    <row r="14" spans="1:7" s="24" customFormat="1" x14ac:dyDescent="0.3">
      <c r="A14" s="48" t="s">
        <v>32</v>
      </c>
      <c r="B14" s="49">
        <f t="shared" ref="B14:G14" si="2">SUM(B7:B13)</f>
        <v>38515.117798647691</v>
      </c>
      <c r="C14" s="76">
        <f>SUM(C7:C13)</f>
        <v>0.99999999999999989</v>
      </c>
      <c r="D14" s="49">
        <f t="shared" si="2"/>
        <v>49557.407391164626</v>
      </c>
      <c r="E14" s="76">
        <f t="shared" si="2"/>
        <v>0.99999999999999989</v>
      </c>
      <c r="F14" s="49">
        <f t="shared" si="2"/>
        <v>54380.898247856341</v>
      </c>
      <c r="G14" s="76">
        <f t="shared" si="2"/>
        <v>1</v>
      </c>
    </row>
    <row r="15" spans="1:7" ht="15" customHeight="1" x14ac:dyDescent="0.3">
      <c r="A15" s="50" t="s">
        <v>21</v>
      </c>
      <c r="B15" s="51">
        <f>B14*1.01</f>
        <v>38900.268976634165</v>
      </c>
      <c r="D15" s="51">
        <f>D14*1.01</f>
        <v>50052.981465076271</v>
      </c>
      <c r="F15" s="51">
        <f>F14*1.01</f>
        <v>54924.707230334905</v>
      </c>
      <c r="G15" s="52"/>
    </row>
    <row r="16" spans="1:7" ht="15" customHeight="1" x14ac:dyDescent="0.3">
      <c r="A16" s="46" t="s">
        <v>37</v>
      </c>
      <c r="B16" s="53">
        <f>+'Materias Primas'!$T$10</f>
        <v>25.796399999999995</v>
      </c>
      <c r="C16" s="53"/>
      <c r="D16" s="53">
        <f>+'Materias Primas'!$T$10</f>
        <v>25.796399999999995</v>
      </c>
      <c r="E16" s="53"/>
      <c r="F16" s="53">
        <f>+'Materias Primas'!$T$10*1.05</f>
        <v>27.086219999999997</v>
      </c>
      <c r="G16" s="52"/>
    </row>
    <row r="17" spans="1:7" ht="15" customHeight="1" x14ac:dyDescent="0.3">
      <c r="A17" s="54" t="s">
        <v>39</v>
      </c>
      <c r="B17" s="55">
        <f>B15/B16</f>
        <v>1507.9727782416994</v>
      </c>
      <c r="C17" s="55"/>
      <c r="D17" s="55">
        <f>D15/D16</f>
        <v>1940.3087820423113</v>
      </c>
      <c r="E17" s="55"/>
      <c r="F17" s="55">
        <f>F15/F16</f>
        <v>2027.7730606313805</v>
      </c>
      <c r="G17" s="56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16" t="s">
        <v>46</v>
      </c>
      <c r="B19" s="16"/>
      <c r="C19" s="16"/>
      <c r="D19" s="16"/>
      <c r="E19" s="16"/>
      <c r="F19" s="16"/>
      <c r="G19" s="16"/>
    </row>
    <row r="20" spans="1:7" ht="15" customHeight="1" x14ac:dyDescent="0.25">
      <c r="A20" s="36"/>
      <c r="B20" s="36"/>
      <c r="C20" s="36"/>
      <c r="D20" s="36"/>
      <c r="E20" s="36"/>
      <c r="F20" s="36"/>
      <c r="G20" s="36"/>
    </row>
    <row r="21" spans="1:7" ht="15" customHeight="1" x14ac:dyDescent="0.25">
      <c r="A21" s="2"/>
      <c r="B21" s="57" t="s">
        <v>40</v>
      </c>
      <c r="C21" s="58"/>
      <c r="D21" s="59" t="s">
        <v>41</v>
      </c>
      <c r="E21" s="58"/>
      <c r="F21" s="59" t="s">
        <v>42</v>
      </c>
      <c r="G21" s="60"/>
    </row>
    <row r="22" spans="1:7" ht="15" customHeight="1" x14ac:dyDescent="0.25">
      <c r="A22" s="61" t="s">
        <v>43</v>
      </c>
      <c r="B22" s="62">
        <v>0.4</v>
      </c>
      <c r="C22" s="63"/>
      <c r="D22" s="62">
        <v>0.4</v>
      </c>
      <c r="E22" s="63"/>
      <c r="F22" s="62">
        <v>0.4</v>
      </c>
      <c r="G22" s="64"/>
    </row>
    <row r="23" spans="1:7" ht="15" customHeight="1" x14ac:dyDescent="0.25">
      <c r="A23" s="65" t="s">
        <v>44</v>
      </c>
      <c r="B23" s="66">
        <f>+B15/(1-B22)</f>
        <v>64833.781627723612</v>
      </c>
      <c r="C23" s="2"/>
      <c r="D23" s="66">
        <f>+D15/(1-D22)</f>
        <v>83421.635775127128</v>
      </c>
      <c r="E23" s="2"/>
      <c r="F23" s="66">
        <f>+F15/(1-F22)</f>
        <v>91541.178717224844</v>
      </c>
      <c r="G23" s="67"/>
    </row>
    <row r="24" spans="1:7" ht="15" customHeight="1" x14ac:dyDescent="0.25">
      <c r="A24" s="44" t="s">
        <v>45</v>
      </c>
      <c r="B24" s="68">
        <v>0.2</v>
      </c>
      <c r="C24" s="2"/>
      <c r="D24" s="90">
        <v>0.2</v>
      </c>
      <c r="E24" s="91"/>
      <c r="F24" s="90">
        <v>0.2</v>
      </c>
      <c r="G24" s="67"/>
    </row>
    <row r="25" spans="1:7" ht="15" customHeight="1" x14ac:dyDescent="0.25">
      <c r="A25" s="65" t="s">
        <v>46</v>
      </c>
      <c r="B25" s="66">
        <f>+B23*(1-B24)</f>
        <v>51867.025302178896</v>
      </c>
      <c r="C25" s="2"/>
      <c r="D25" s="92">
        <f>+D23*(1-D24)</f>
        <v>66737.308620101699</v>
      </c>
      <c r="E25" s="91"/>
      <c r="F25" s="92">
        <f>+F23*(1-F24)</f>
        <v>73232.942973779878</v>
      </c>
      <c r="G25" s="67"/>
    </row>
    <row r="26" spans="1:7" ht="15" customHeight="1" x14ac:dyDescent="0.25">
      <c r="A26" s="44"/>
      <c r="B26" s="2"/>
      <c r="C26" s="2"/>
      <c r="D26" s="91"/>
      <c r="E26" s="91"/>
      <c r="F26" s="91"/>
      <c r="G26" s="67"/>
    </row>
    <row r="27" spans="1:7" x14ac:dyDescent="0.25">
      <c r="A27" s="44" t="s">
        <v>47</v>
      </c>
      <c r="B27" s="68">
        <f>+(B28-B15)/B28</f>
        <v>0.25000000000000017</v>
      </c>
      <c r="C27" s="68"/>
      <c r="D27" s="90">
        <f>+(D28-D15)/D28</f>
        <v>0.25000000000000006</v>
      </c>
      <c r="E27" s="90"/>
      <c r="F27" s="90">
        <f>+(F28-F15)/F28</f>
        <v>0.25000000000000006</v>
      </c>
      <c r="G27" s="69"/>
    </row>
    <row r="28" spans="1:7" ht="18.75" customHeight="1" x14ac:dyDescent="0.25">
      <c r="A28" s="70" t="s">
        <v>46</v>
      </c>
      <c r="B28" s="71">
        <f>+B25</f>
        <v>51867.025302178896</v>
      </c>
      <c r="C28" s="71"/>
      <c r="D28" s="71">
        <f>+D25</f>
        <v>66737.308620101699</v>
      </c>
      <c r="E28" s="71"/>
      <c r="F28" s="71">
        <f>+F25</f>
        <v>73232.942973779878</v>
      </c>
      <c r="G28" s="72"/>
    </row>
    <row r="29" spans="1:7" ht="18" customHeight="1" x14ac:dyDescent="0.3"/>
    <row r="30" spans="1:7" x14ac:dyDescent="0.3">
      <c r="B30" s="77"/>
      <c r="C30" s="77"/>
      <c r="D30" s="77"/>
      <c r="E30" s="77"/>
      <c r="F30" s="77"/>
      <c r="G30" s="77"/>
    </row>
    <row r="38" spans="8:8" x14ac:dyDescent="0.3">
      <c r="H38" s="2" t="s">
        <v>64</v>
      </c>
    </row>
  </sheetData>
  <mergeCells count="3">
    <mergeCell ref="D5:E5"/>
    <mergeCell ref="F5:G5"/>
    <mergeCell ref="B5:C5"/>
  </mergeCells>
  <phoneticPr fontId="2" type="noConversion"/>
  <pageMargins left="0.59055118110236227" right="0.74803149606299213" top="0.39370078740157483" bottom="0.98425196850393704" header="0.23622047244094491" footer="0.51181102362204722"/>
  <pageSetup scale="65" orientation="portrait" horizontalDpi="4294967292" verticalDpi="300" r:id="rId1"/>
  <headerFooter alignWithMargins="0">
    <oddHeader>&amp;R&amp;D</oddHeader>
    <oddFooter>&amp;R&amp;"Arial,Negrita"Producción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Materias Primas</vt:lpstr>
      <vt:lpstr>Subcontratos</vt:lpstr>
      <vt:lpstr>Costo Directo</vt:lpstr>
      <vt:lpstr>'Costo Directo'!Área_de_impresión</vt:lpstr>
      <vt:lpstr>'Materias Primas'!Área_de_impresión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Pinaga</dc:creator>
  <cp:lastModifiedBy>Antonio de Pinaga</cp:lastModifiedBy>
  <cp:lastPrinted>2015-11-16T15:02:19Z</cp:lastPrinted>
  <dcterms:created xsi:type="dcterms:W3CDTF">1997-10-23T15:11:46Z</dcterms:created>
  <dcterms:modified xsi:type="dcterms:W3CDTF">2026-08-24T16:10:27Z</dcterms:modified>
</cp:coreProperties>
</file>